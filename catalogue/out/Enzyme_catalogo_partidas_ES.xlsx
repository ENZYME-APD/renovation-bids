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Capítulos" sheetId="2" state="visible" r:id="rId4"/>
    <sheet name="Partidas" sheetId="3" state="visible" r:id="rId5"/>
    <sheet name="Plantillas" sheetId="4" state="visible" r:id="rId6"/>
    <sheet name="Calculadora" sheetId="5" state="visible" r:id="rId7"/>
  </sheets>
  <definedNames>
    <definedName function="false" hidden="true" localSheetId="2" name="_xlnm._FilterDatabase" vbProcedure="false">Partidas!$A$1:$I$99</definedName>
    <definedName function="false" hidden="true" localSheetId="3" name="_xlnm._FilterDatabase" vbProcedure="false">Plantillas!$A$1:$I$114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€ sin IVA, todo incluido (suministro + colocación), calidad estándar Enzyme. Fuente en 'Base del precio'.</t>
        </r>
      </text>
    </comment>
    <comment ref="H1" authorId="0">
      <text>
        <r>
          <rPr>
            <sz val="10"/>
            <rFont val="Arial"/>
            <family val="2"/>
          </rPr>
          <t xml:space="preserve">Código de la partida equivalente en el Generador de Precios de CYPE (Rehabilitación). A rellenar al tarar precios.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28" authorId="0">
      <text>
        <r>
          <rPr>
            <sz val="10"/>
            <rFont val="Arial"/>
            <family val="2"/>
          </rPr>
          <t xml:space="preserve">Propuesta inicial. Ajustar según estado de la vivienda.</t>
        </r>
      </text>
    </comment>
    <comment ref="C131" authorId="0">
      <text>
        <r>
          <rPr>
            <sz val="10"/>
            <rFont val="Arial"/>
            <family val="2"/>
          </rPr>
          <t xml:space="preserve">10 % para reformas de vivienda que cumplen los requisitos del tipo reducido; 21 % en otro caso. Confirmar en cada obra.</t>
        </r>
      </text>
    </comment>
    <comment ref="C133" authorId="0">
      <text>
        <r>
          <rPr>
            <sz val="10"/>
            <rFont val="Arial"/>
            <family val="2"/>
          </rPr>
          <t xml:space="preserve">Partidas que entran en la oferta pero aún no tienen precio Enzyme: el total está incompleto mientras no sea 0.</t>
        </r>
      </text>
    </comment>
  </commentList>
</comments>
</file>

<file path=xl/sharedStrings.xml><?xml version="1.0" encoding="utf-8"?>
<sst xmlns="http://schemas.openxmlformats.org/spreadsheetml/2006/main" count="1398" uniqueCount="512">
  <si>
    <t xml:space="preserve">Catálogo de partidas Enzyme — Reforma de vivienda (España)</t>
  </si>
  <si>
    <t xml:space="preserve">Versión 1 · base de precios: presupuesto Ortega y Gasset 47 (P26018, REV 2) · precios en € sin IVA</t>
  </si>
  <si>
    <t xml:space="preserve">Cómo está organizado</t>
  </si>
  <si>
    <t xml:space="preserve">• Capítulos por gremio, cada uno referido a un capítulo del Generador de Precios de CYPE (Rehabilitación).</t>
  </si>
  <si>
    <t xml:space="preserve">• Un código = una partida con precio unitario. Los códigos no cambian de significado; una especificación nueva lleva código nuevo.</t>
  </si>
  <si>
    <t xml:space="preserve">• Todas las partidas son 'todo incluido' (suministro + colocación) en la calidad estándar Enzyme.</t>
  </si>
  <si>
    <t xml:space="preserve">• Fase de oferta: solo estándar, sin opciones ni peticiones del cliente. Las alternativas (tarima, PVC, gran altura…) son partidas del catálogo para después del contrato.</t>
  </si>
  <si>
    <t xml:space="preserve">Hojas</t>
  </si>
  <si>
    <t xml:space="preserve">• Capítulos: estructura y correspondencia con CYPE.</t>
  </si>
  <si>
    <t xml:space="preserve">• Partidas: catálogo con precio Enzyme y de dónde sale cada precio.</t>
  </si>
  <si>
    <t xml:space="preserve">• Plantillas: estancias tipo. Cantidad = factor × tamaño + fijo.</t>
  </si>
  <si>
    <t xml:space="preserve">• Calculadora: estancias y m² → presupuesto por capítulos. Ejemplo con superficies aproximadas; ajústelas.</t>
  </si>
  <si>
    <t xml:space="preserve">• Las plantillas cubren lo que depende de la superficie y del tipo de estancia. Se añaden a mano las partidas de proyecto: tabiquería y su demolición, armarios y carpintería a medida, calefacción y aire acondicionado, molduras.</t>
  </si>
  <si>
    <t xml:space="preserve">Colores</t>
  </si>
  <si>
    <t xml:space="preserve">• Azul: dato introducido (precios, factores, estancias, m²). Negro: fórmula. Verde: dato traído de otra hoja.</t>
  </si>
  <si>
    <t xml:space="preserve">• Fondo amarillo: pendiente de completar (precio o referencia CYPE).</t>
  </si>
  <si>
    <t xml:space="preserve">Qué falta</t>
  </si>
  <si>
    <t xml:space="preserve">• Partidas sin precio: nuevas respecto a Ortega y Gasset 47. Precio por CYPE o por solicitud a proveedor.</t>
  </si>
  <si>
    <t xml:space="preserve">• Ref. CYPE: código de la partida equivalente del Generador de Precios, a rellenar al tarar precios.</t>
  </si>
  <si>
    <t xml:space="preserve">• Factores de plantillas sin nota 'OG47': valores propuestos, a calibrar con 2–3 obras terminadas.</t>
  </si>
  <si>
    <t xml:space="preserve">Partidas de Ortega y Gasset 47 que no pasan al catálogo</t>
  </si>
  <si>
    <t xml:space="preserve">• Servicios de arquitectura + dirección de obra: Honorarios de Enzyme: van en el Fee Calculator, no en el presupuesto de obra.</t>
  </si>
  <si>
    <t xml:space="preserve">• OTRO3 Mobiliario de cocina (propiedad): Sustituido por COC-010 (suministro Enzyme) o COC-020 (montaje de lo que aporta la propiedad).</t>
  </si>
  <si>
    <t xml:space="preserve">• OTRO4 Electrodomésticos (propiedad): Fuera del presupuesto de obra; conexión en COC-030.</t>
  </si>
  <si>
    <t xml:space="preserve">• Opciones A/B/C (puertas, ventanas, suelos, toalleros): En fase de oferta se presupuesta solo el estándar; las alternativas quedan como partidas del catálogo para después del contrato.</t>
  </si>
  <si>
    <t xml:space="preserve">• Electricidad por estancia: Las estancias pasan a la medición; las partidas son unitarias (ELE-020 a ELE-090).</t>
  </si>
  <si>
    <t xml:space="preserve">Código</t>
  </si>
  <si>
    <t xml:space="preserve">Capítulo</t>
  </si>
  <si>
    <t xml:space="preserve">Capítulo CYPE</t>
  </si>
  <si>
    <t xml:space="preserve">Orden</t>
  </si>
  <si>
    <t xml:space="preserve">Nº partidas</t>
  </si>
  <si>
    <t xml:space="preserve">PRE</t>
  </si>
  <si>
    <t xml:space="preserve">Actuaciones previas y medios auxiliares</t>
  </si>
  <si>
    <t xml:space="preserve">0</t>
  </si>
  <si>
    <t xml:space="preserve">DEM</t>
  </si>
  <si>
    <t xml:space="preserve">Demoliciones y desmontajes</t>
  </si>
  <si>
    <t xml:space="preserve">D</t>
  </si>
  <si>
    <t xml:space="preserve">TAB</t>
  </si>
  <si>
    <t xml:space="preserve">Tabiquería y trasdosados</t>
  </si>
  <si>
    <t xml:space="preserve">F</t>
  </si>
  <si>
    <t xml:space="preserve">TEC</t>
  </si>
  <si>
    <t xml:space="preserve">Falsos techos y molduras</t>
  </si>
  <si>
    <t xml:space="preserve">R</t>
  </si>
  <si>
    <t xml:space="preserve">IMP</t>
  </si>
  <si>
    <t xml:space="preserve">Aislamientos e impermeabilizaciones</t>
  </si>
  <si>
    <t xml:space="preserve">N</t>
  </si>
  <si>
    <t xml:space="preserve">REV</t>
  </si>
  <si>
    <t xml:space="preserve">Revestimientos de paredes</t>
  </si>
  <si>
    <t xml:space="preserve">PAV</t>
  </si>
  <si>
    <t xml:space="preserve">Pavimentos y rodapiés</t>
  </si>
  <si>
    <t xml:space="preserve">CEX</t>
  </si>
  <si>
    <t xml:space="preserve">Carpintería exterior y protecciones solares</t>
  </si>
  <si>
    <t xml:space="preserve">L</t>
  </si>
  <si>
    <t xml:space="preserve">CIN</t>
  </si>
  <si>
    <t xml:space="preserve">Carpintería interior y mobiliario a medida</t>
  </si>
  <si>
    <t xml:space="preserve">FON</t>
  </si>
  <si>
    <t xml:space="preserve">Fontanería y saneamiento</t>
  </si>
  <si>
    <t xml:space="preserve">I</t>
  </si>
  <si>
    <t xml:space="preserve">SAN</t>
  </si>
  <si>
    <t xml:space="preserve">Sanitarios, grifería y equipamiento de baño</t>
  </si>
  <si>
    <t xml:space="preserve">COC</t>
  </si>
  <si>
    <t xml:space="preserve">Cocina</t>
  </si>
  <si>
    <t xml:space="preserve">S</t>
  </si>
  <si>
    <t xml:space="preserve">ELE</t>
  </si>
  <si>
    <t xml:space="preserve">Electricidad y telecomunicaciones</t>
  </si>
  <si>
    <t xml:space="preserve">ILU</t>
  </si>
  <si>
    <t xml:space="preserve">Iluminación</t>
  </si>
  <si>
    <t xml:space="preserve">CLI</t>
  </si>
  <si>
    <t xml:space="preserve">Climatización, calefacción y ventilación</t>
  </si>
  <si>
    <t xml:space="preserve">PIN</t>
  </si>
  <si>
    <t xml:space="preserve">Pintura</t>
  </si>
  <si>
    <t xml:space="preserve">AYU</t>
  </si>
  <si>
    <t xml:space="preserve">Remates y ayudas</t>
  </si>
  <si>
    <t xml:space="preserve">H</t>
  </si>
  <si>
    <t xml:space="preserve">RES</t>
  </si>
  <si>
    <t xml:space="preserve">Gestión de residuos</t>
  </si>
  <si>
    <t xml:space="preserve">G</t>
  </si>
  <si>
    <t xml:space="preserve">SYS</t>
  </si>
  <si>
    <t xml:space="preserve">Seguridad y salud</t>
  </si>
  <si>
    <t xml:space="preserve">Y</t>
  </si>
  <si>
    <t xml:space="preserve">LIM</t>
  </si>
  <si>
    <t xml:space="preserve">Limpieza y entrega</t>
  </si>
  <si>
    <t xml:space="preserve">Ud</t>
  </si>
  <si>
    <t xml:space="preserve">Descripción</t>
  </si>
  <si>
    <t xml:space="preserve">Especificación estándar Enzyme</t>
  </si>
  <si>
    <t xml:space="preserve">Precio Enzyme (€/ud)</t>
  </si>
  <si>
    <t xml:space="preserve">Base del precio</t>
  </si>
  <si>
    <t xml:space="preserve">Ref. CYPE</t>
  </si>
  <si>
    <t xml:space="preserve">Estado</t>
  </si>
  <si>
    <t xml:space="preserve">PRE-010</t>
  </si>
  <si>
    <t xml:space="preserve">pa</t>
  </si>
  <si>
    <t xml:space="preserve">Protección de zonas comunes y elementos que se conservan</t>
  </si>
  <si>
    <t xml:space="preserve">Protección de portal, ascensor, rellanos, carpinterías y pavimentos que se conservan durante toda la obra, con retirada al final.</t>
  </si>
  <si>
    <t xml:space="preserve">OG47 LFO1 la incluye junto a la limpieza final (ver LIM-010)</t>
  </si>
  <si>
    <t xml:space="preserve">PRE-020</t>
  </si>
  <si>
    <t xml:space="preserve">Comunicación a la comunidad y gestión de ascensor/montacargas</t>
  </si>
  <si>
    <t xml:space="preserve">Aviso a la comunidad de propietarios, horarios de obra, reserva y protección de ascensor o montacargas para acopios.</t>
  </si>
  <si>
    <t xml:space="preserve">PRE-030</t>
  </si>
  <si>
    <t xml:space="preserve">Medios de elevación para carpintería exterior</t>
  </si>
  <si>
    <t xml:space="preserve">Plataforma elevadora, grúa o medio equivalente para subida de carpinterías y vidrios que no caben por escalera o ascensor, incluso permisos de vía pública.</t>
  </si>
  <si>
    <t xml:space="preserve">PRE-040</t>
  </si>
  <si>
    <t xml:space="preserve">Gestión de licencia o declaración responsable</t>
  </si>
  <si>
    <t xml:space="preserve">Tramitación ante el ayuntamiento de la licencia o declaración responsable que corresponda. Tasas e ICIO a cargo de la propiedad, fuera de esta partida.</t>
  </si>
  <si>
    <t xml:space="preserve">DEM-010</t>
  </si>
  <si>
    <t xml:space="preserve">Desmontaje de mobiliario existente</t>
  </si>
  <si>
    <t xml:space="preserve">Desmontaje de armarios, muebles de cocina y baño y estanterías, con carga y transporte a contenedor de lo no reutilizable.</t>
  </si>
  <si>
    <t xml:space="preserve">OG47 DMC1</t>
  </si>
  <si>
    <t xml:space="preserve">DEM-020</t>
  </si>
  <si>
    <t xml:space="preserve">ud</t>
  </si>
  <si>
    <t xml:space="preserve">Desmontaje de carpintería exterior</t>
  </si>
  <si>
    <t xml:space="preserve">Desmontaje de hoja y marco de ventana o balconera existente, con retirada a contenedor y hueco preparado para la nueva carpintería.</t>
  </si>
  <si>
    <t xml:space="preserve">OG47 DCE1</t>
  </si>
  <si>
    <t xml:space="preserve">DEM-030</t>
  </si>
  <si>
    <t xml:space="preserve">m2</t>
  </si>
  <si>
    <t xml:space="preserve">Ajuste de hueco en fachada (ampliación o reducción)</t>
  </si>
  <si>
    <t xml:space="preserve">Demolición puntual de fábrica para modificar un hueco, repicado, corte de jambas, recibido y enfoscado de mochetas. Medición por m² de hueco intervenido.</t>
  </si>
  <si>
    <t xml:space="preserve">OG47 DFHV</t>
  </si>
  <si>
    <t xml:space="preserve">DEM-040</t>
  </si>
  <si>
    <t xml:space="preserve">Demolición de tabique de placa de yeso laminado</t>
  </si>
  <si>
    <t xml:space="preserve">Demolición de tabique de PYL incluida perfilería y aislamiento, con carga a contenedor.</t>
  </si>
  <si>
    <t xml:space="preserve">OG47 (sin código)</t>
  </si>
  <si>
    <t xml:space="preserve">DEM-050</t>
  </si>
  <si>
    <t xml:space="preserve">Demolición de tabique de ladrillo</t>
  </si>
  <si>
    <t xml:space="preserve">Demolición de tabique de ladrillo hueco con revestimientos, con carga a contenedor.</t>
  </si>
  <si>
    <t xml:space="preserve">DEM-060</t>
  </si>
  <si>
    <t xml:space="preserve">Demolición de falso techo de PYL o escayola</t>
  </si>
  <si>
    <t xml:space="preserve">Demolición de falso techo incluida estructura de cuelgue, con carga a contenedor.</t>
  </si>
  <si>
    <t xml:space="preserve">DEM-070</t>
  </si>
  <si>
    <t xml:space="preserve">Desmontaje de radiador</t>
  </si>
  <si>
    <t xml:space="preserve">Desmontaje de radiador, vaciado y purgado del circuito y taponado de tomas.</t>
  </si>
  <si>
    <t xml:space="preserve">OG47 DRAD</t>
  </si>
  <si>
    <t xml:space="preserve">DEM-080</t>
  </si>
  <si>
    <t xml:space="preserve">Levantado de pavimento de madera, laminado o vinílico</t>
  </si>
  <si>
    <t xml:space="preserve">Levantado de tarima, parquet, laminado o vinílico con rastreles y adhesivos, con carga a contenedor.</t>
  </si>
  <si>
    <t xml:space="preserve">OG47 LS</t>
  </si>
  <si>
    <t xml:space="preserve">DEM-090</t>
  </si>
  <si>
    <t xml:space="preserve">Picado de alicatado y solado cerámico</t>
  </si>
  <si>
    <t xml:space="preserve">Picado de revestimiento cerámico en paredes y suelos hasta soporte, con carga a contenedor.</t>
  </si>
  <si>
    <t xml:space="preserve">OG47 LS (picado)</t>
  </si>
  <si>
    <t xml:space="preserve">DEM-100</t>
  </si>
  <si>
    <t xml:space="preserve">Desmontaje de aparato sanitario o grifería</t>
  </si>
  <si>
    <t xml:space="preserve">Desmontaje de inodoro, lavabo, bañera, plato o grifería, con anulación de tomas y retirada.</t>
  </si>
  <si>
    <t xml:space="preserve">DEM-110</t>
  </si>
  <si>
    <t xml:space="preserve">Desmontaje de puerta interior</t>
  </si>
  <si>
    <t xml:space="preserve">Desmontaje de hoja, cerco y tapajuntas de puerta interior, con retirada.</t>
  </si>
  <si>
    <t xml:space="preserve">DEM-120</t>
  </si>
  <si>
    <t xml:space="preserve">Levantado de instalaciones existentes</t>
  </si>
  <si>
    <t xml:space="preserve">Levantado de instalación eléctrica, fontanería y calefacción que se sustituyen, con retirada.</t>
  </si>
  <si>
    <t xml:space="preserve">TAB-010</t>
  </si>
  <si>
    <t xml:space="preserve">Tabique PYL 2 placas por cara con aislamiento</t>
  </si>
  <si>
    <t xml:space="preserve">Tabique de placa de yeso laminado sobre perfilería de 70 mm, 2 placas por cara (hidrófuga en zonas húmedas), lana mineral, juntas tratadas listo para pintar.</t>
  </si>
  <si>
    <t xml:space="preserve">OG47 TP2PA</t>
  </si>
  <si>
    <t xml:space="preserve">TAB-020</t>
  </si>
  <si>
    <t xml:space="preserve">Trasdosado PYL 1 placa sobre perfilería con aislamiento</t>
  </si>
  <si>
    <t xml:space="preserve">Trasdosado de una placa sobre perfilería autoportante con lana mineral, juntas tratadas.</t>
  </si>
  <si>
    <t xml:space="preserve">OG47 TA</t>
  </si>
  <si>
    <t xml:space="preserve">TAB-030</t>
  </si>
  <si>
    <t xml:space="preserve">Trasdosado PYL 1 placa directo</t>
  </si>
  <si>
    <t xml:space="preserve">Trasdosado directo de placa adherida al paramento con pasta de agarre, juntas tratadas.</t>
  </si>
  <si>
    <t xml:space="preserve">OG47 TA (pegado)</t>
  </si>
  <si>
    <t xml:space="preserve">TEC-010</t>
  </si>
  <si>
    <t xml:space="preserve">Falso techo continuo PYL</t>
  </si>
  <si>
    <t xml:space="preserve">Falso techo continuo de placa de yeso laminado tipo N sobre estructura metálica, juntas tratadas listo para pintar.</t>
  </si>
  <si>
    <t xml:space="preserve">OG47 FTYN</t>
  </si>
  <si>
    <t xml:space="preserve">TEC-020</t>
  </si>
  <si>
    <t xml:space="preserve">Falso techo continuo PYL hidrófugo</t>
  </si>
  <si>
    <t xml:space="preserve">Falso techo continuo de placa hidrófuga en baños, aseos, cocina y lavandería.</t>
  </si>
  <si>
    <t xml:space="preserve">OG47 FTWA</t>
  </si>
  <si>
    <t xml:space="preserve">TEC-030</t>
  </si>
  <si>
    <t xml:space="preserve">m</t>
  </si>
  <si>
    <t xml:space="preserve">Candileja o foseado perimetral para LED</t>
  </si>
  <si>
    <t xml:space="preserve">Cajeado perimetral en falso techo para tira LED (suministro en ILU), juntas tratadas.</t>
  </si>
  <si>
    <t xml:space="preserve">OG47 CP1</t>
  </si>
  <si>
    <t xml:space="preserve">TEC-040</t>
  </si>
  <si>
    <t xml:space="preserve">Moldura decorativa de escayola</t>
  </si>
  <si>
    <t xml:space="preserve">Suministro y colocación de moldura de escayola techo-pared, ingletes y juntas, lista para pintar. Modelo estándar.</t>
  </si>
  <si>
    <t xml:space="preserve">OG47 ESC S 10 + ESC I 10</t>
  </si>
  <si>
    <t xml:space="preserve">TEC-050</t>
  </si>
  <si>
    <t xml:space="preserve">Registro en falso techo</t>
  </si>
  <si>
    <t xml:space="preserve">Trampilla de registro de PYL para acceso a instalaciones.</t>
  </si>
  <si>
    <t xml:space="preserve">IMP-010</t>
  </si>
  <si>
    <t xml:space="preserve">Impermeabilización de suelo en zona húmeda</t>
  </si>
  <si>
    <t xml:space="preserve">Membrana impermeabilizante bajo solado en baños, aseos y lavandería, con banda perimetral y remate en encuentros.</t>
  </si>
  <si>
    <t xml:space="preserve">IMP-020</t>
  </si>
  <si>
    <t xml:space="preserve">Desagüe lineal y manta impermeable para ducha de obra</t>
  </si>
  <si>
    <t xml:space="preserve">Canaleta de desagüe lineal y manta impermeabilizante para ducha a nivel de suelo, suministro e instalación.</t>
  </si>
  <si>
    <t xml:space="preserve">OG47 IDD 180 + IDD 160</t>
  </si>
  <si>
    <t xml:space="preserve">IMP-030</t>
  </si>
  <si>
    <t xml:space="preserve">Lámina anti-impacto bajo pavimento</t>
  </si>
  <si>
    <t xml:space="preserve">Lámina acústica de polietileno reticulado bajo recrecido o pavimento flotante.</t>
  </si>
  <si>
    <t xml:space="preserve">REV-010</t>
  </si>
  <si>
    <t xml:space="preserve">Alicatado de gres porcelánico</t>
  </si>
  <si>
    <t xml:space="preserve">Suministro (gama estándar Enzyme) y colocación con adhesivo C2 y doble encolado, rejuntado, cortes e ingletes. Incluye 10 % de desperdicio.</t>
  </si>
  <si>
    <t xml:space="preserve">OG47 PCA 40 + PS 45 × 43/38,9 m² = 89,7</t>
  </si>
  <si>
    <t xml:space="preserve">REV-020</t>
  </si>
  <si>
    <t xml:space="preserve">Enlucido o alisado de paredes</t>
  </si>
  <si>
    <t xml:space="preserve">Regularización de paramentos tras demoliciones con guarnecido y enlucido de yeso o alisado, listo para pintar.</t>
  </si>
  <si>
    <t xml:space="preserve">REV-030</t>
  </si>
  <si>
    <t xml:space="preserve">Moldura de pared tipo boiserie</t>
  </si>
  <si>
    <t xml:space="preserve">Suministro y colocación de moldura de PVC o HDPS sobre pared lisa formando paños, lista para pintar.</t>
  </si>
  <si>
    <t xml:space="preserve">OG47 PM 10 + PM 10</t>
  </si>
  <si>
    <t xml:space="preserve">REV-040</t>
  </si>
  <si>
    <t xml:space="preserve">Espejo decorativo en pared</t>
  </si>
  <si>
    <t xml:space="preserve">Suministro y colocación de espejo con adhesivo específico y canteado de bordes.</t>
  </si>
  <si>
    <t xml:space="preserve">OG47 OTRO5 (espejos salón)</t>
  </si>
  <si>
    <t xml:space="preserve">REV-050</t>
  </si>
  <si>
    <t xml:space="preserve">Viga decorativa imitación madera</t>
  </si>
  <si>
    <t xml:space="preserve">Suministro y colocación de viga decorativa imitación madera con foseado y remates.</t>
  </si>
  <si>
    <t xml:space="preserve">OG47 OTRO5 (vigas)</t>
  </si>
  <si>
    <t xml:space="preserve">PAV-010</t>
  </si>
  <si>
    <t xml:space="preserve">Recrecido de mortero autonivelante</t>
  </si>
  <si>
    <t xml:space="preserve">Recrecido con mortero autonivelante para regularizar el soporte, espesor según obra.</t>
  </si>
  <si>
    <t xml:space="preserve">OG47 OTRO1</t>
  </si>
  <si>
    <t xml:space="preserve">PAV-020</t>
  </si>
  <si>
    <t xml:space="preserve">Solado de gres porcelánico</t>
  </si>
  <si>
    <t xml:space="preserve">Suministro (gama estándar Enzyme) y colocación con adhesivo C2, rejuntado y cortes. Incluye 10 % de desperdicio.</t>
  </si>
  <si>
    <t xml:space="preserve">OG47 PCS 35 + PS 45 × 12/10,5 m² = 86,4</t>
  </si>
  <si>
    <t xml:space="preserve">PAV-030</t>
  </si>
  <si>
    <t xml:space="preserve">Suelo laminado flotante</t>
  </si>
  <si>
    <t xml:space="preserve">Suministro (gama estándar Enzyme, AC4) y colocación flotante sobre lámina, remates y juntas de dilatación. Incluye 10 % de desperdicio.</t>
  </si>
  <si>
    <t xml:space="preserve">OG47 PS B 50 × 85/79 m² + PCS 24 = 77,8 (en espiga húngara)</t>
  </si>
  <si>
    <t xml:space="preserve">PAV-040</t>
  </si>
  <si>
    <t xml:space="preserve">Tarima de madera natural</t>
  </si>
  <si>
    <t xml:space="preserve">Suministro e instalación por instalador especializado de tarima de madera natural, acabado barnizado o aceitado.</t>
  </si>
  <si>
    <t xml:space="preserve">OG47 PS A</t>
  </si>
  <si>
    <t xml:space="preserve">PAV-050</t>
  </si>
  <si>
    <t xml:space="preserve">Suelo vinílico SPC</t>
  </si>
  <si>
    <t xml:space="preserve">Suministro y colocación de suelo vinílico SPC con sistema click.</t>
  </si>
  <si>
    <t xml:space="preserve">OG47 PS C 30 + PCS 24</t>
  </si>
  <si>
    <t xml:space="preserve">PAV-060</t>
  </si>
  <si>
    <t xml:space="preserve">Rodapié lacado blanco 20 cm</t>
  </si>
  <si>
    <t xml:space="preserve">Suministro y colocación de rodapié blanco de 20 cm con adhesivo y/o clavado, juntas selladas.</t>
  </si>
  <si>
    <t xml:space="preserve">OG47 PRE 10,75 + PCR 8</t>
  </si>
  <si>
    <t xml:space="preserve">CEX-010</t>
  </si>
  <si>
    <t xml:space="preserve">Ventana de aluminio con rotura de puente térmico</t>
  </si>
  <si>
    <t xml:space="preserve">Suministro y colocación de ventana de aluminio RPT, oscilobatiente, acabado blanco, doble acristalamiento bajo emisivo, herrajes, recibido y sellado. Tamaño medio de vivienda.</t>
  </si>
  <si>
    <t xml:space="preserve">OG47 OTRO2 A 9.470 € / 9 ventanas</t>
  </si>
  <si>
    <t xml:space="preserve">CEX-020</t>
  </si>
  <si>
    <t xml:space="preserve">Ventana de PVC</t>
  </si>
  <si>
    <t xml:space="preserve">Suministro y colocación de ventana de PVC, oscilobatiente, blanco, doble acristalamiento bajo emisivo, herrajes, recibido y sellado. Tamaño medio de vivienda.</t>
  </si>
  <si>
    <t xml:space="preserve">OG47 OTRO2 B 6.495 € / 9 ventanas</t>
  </si>
  <si>
    <t xml:space="preserve">CEX-030</t>
  </si>
  <si>
    <t xml:space="preserve">Persiana enrollable motorizada con cajón</t>
  </si>
  <si>
    <t xml:space="preserve">Persiana de aluminio con cajón compacto o rehabilitación del existente, motor y mando.</t>
  </si>
  <si>
    <t xml:space="preserve">CEX-040</t>
  </si>
  <si>
    <t xml:space="preserve">Puerta de entrada blindada</t>
  </si>
  <si>
    <t xml:space="preserve">Suministro y colocación de puerta de entrada blindada con cerradura de seguridad, acabado interior a juego con carpintería.</t>
  </si>
  <si>
    <t xml:space="preserve">CIN-010</t>
  </si>
  <si>
    <t xml:space="preserve">Puerta de paso abatible, altura estándar</t>
  </si>
  <si>
    <t xml:space="preserve">Suministro y colocación de puerta lacada blanca de 203 cm con precerco, cerco, tapajuntas, herrajes y manilla estándar.</t>
  </si>
  <si>
    <t xml:space="preserve">OG47 PIA1 A 295 + PCM1 50 + CPIA 150</t>
  </si>
  <si>
    <t xml:space="preserve">CIN-020</t>
  </si>
  <si>
    <t xml:space="preserve">Puerta de paso abatible, gran altura</t>
  </si>
  <si>
    <t xml:space="preserve">Como CIN-010 con hoja de 260 cm.</t>
  </si>
  <si>
    <t xml:space="preserve">OG47 PIA1 B 960 + PCM1 50 + CPIA 150</t>
  </si>
  <si>
    <t xml:space="preserve">CIN-030</t>
  </si>
  <si>
    <t xml:space="preserve">Puerta corredera con casoneto</t>
  </si>
  <si>
    <t xml:space="preserve">Suministro y montaje de puerta corredera con casoneto empotrado en tabique, guía, herrajes, tapajuntas y manivela embutida.</t>
  </si>
  <si>
    <t xml:space="preserve">OG47 PCST1</t>
  </si>
  <si>
    <t xml:space="preserve">CIN-040</t>
  </si>
  <si>
    <t xml:space="preserve">Armario empotrado de suelo a techo</t>
  </si>
  <si>
    <t xml:space="preserve">Suministro y montaje de armario con interior de barras y cajoneras, LED interior y puertas lacadas. Medición por m² de frente.</t>
  </si>
  <si>
    <t xml:space="preserve">OG47 AE</t>
  </si>
  <si>
    <t xml:space="preserve">CIN-050</t>
  </si>
  <si>
    <t xml:space="preserve">Estantería o librería a medida</t>
  </si>
  <si>
    <t xml:space="preserve">Suministro y montaje de estantería a medida con iluminación LED. Medición por m² de frente.</t>
  </si>
  <si>
    <t xml:space="preserve">OG47 AE (estantería)</t>
  </si>
  <si>
    <t xml:space="preserve">CIN-060</t>
  </si>
  <si>
    <t xml:space="preserve">Mueble de lavandería</t>
  </si>
  <si>
    <t xml:space="preserve">Suministro y montaje de mueble torre para lavadora y secadora con accesorios. Medición por m² de frente.</t>
  </si>
  <si>
    <t xml:space="preserve">OG47 MA (lavandería)</t>
  </si>
  <si>
    <t xml:space="preserve">FON-010</t>
  </si>
  <si>
    <t xml:space="preserve">Punto de agua fría y caliente</t>
  </si>
  <si>
    <t xml:space="preserve">Red de fontanería en multicapa hasta punto de consumo, con rozas. El inodoro cuenta como medio punto.</t>
  </si>
  <si>
    <t xml:space="preserve">OG47 FIF1</t>
  </si>
  <si>
    <t xml:space="preserve">FON-020</t>
  </si>
  <si>
    <t xml:space="preserve">Punto de desagüe</t>
  </si>
  <si>
    <t xml:space="preserve">Red de saneamiento en PVC serie B desde aparato hasta bajante, con rozas y pendientes según CTE DB-HS5.</t>
  </si>
  <si>
    <t xml:space="preserve">OG47 FRS</t>
  </si>
  <si>
    <t xml:space="preserve">FON-030</t>
  </si>
  <si>
    <t xml:space="preserve">Bote sifónico</t>
  </si>
  <si>
    <t xml:space="preserve">Bote sifónico registrable empotrado, conexiones y tapa.</t>
  </si>
  <si>
    <t xml:space="preserve">OG47 FBS</t>
  </si>
  <si>
    <t xml:space="preserve">FON-040</t>
  </si>
  <si>
    <t xml:space="preserve">Llave de corte por estancia húmeda</t>
  </si>
  <si>
    <t xml:space="preserve">Llaves de corte de agua fría y caliente en cada baño, aseo y cocina.</t>
  </si>
  <si>
    <t xml:space="preserve">FON-050</t>
  </si>
  <si>
    <t xml:space="preserve">Pruebas de presión y estanqueidad</t>
  </si>
  <si>
    <t xml:space="preserve">Pruebas de la red de fontanería y saneamiento con acta.</t>
  </si>
  <si>
    <t xml:space="preserve">SAN-010</t>
  </si>
  <si>
    <t xml:space="preserve">Plato de ducha</t>
  </si>
  <si>
    <t xml:space="preserve">Suministro (resina o porcelánico, gama estándar Enzyme) e instalación nivelada con conexión a desagüe.</t>
  </si>
  <si>
    <t xml:space="preserve">OG47 PD 550 + IPD 90 (plato 80×200)</t>
  </si>
  <si>
    <t xml:space="preserve">SAN-020</t>
  </si>
  <si>
    <t xml:space="preserve">Bañera</t>
  </si>
  <si>
    <t xml:space="preserve">Suministro (acrílica 160×70, gama estándar Enzyme) e instalación nivelada con conexiones.</t>
  </si>
  <si>
    <t xml:space="preserve">OG47 FB 700 + FIB 150</t>
  </si>
  <si>
    <t xml:space="preserve">SAN-030</t>
  </si>
  <si>
    <t xml:space="preserve">Inodoro suspendido con bastidor</t>
  </si>
  <si>
    <t xml:space="preserve">Suministro de inodoro suspendido (tipo Roca Meridian o similar) y bastidor con cisterna empotrada, montaje y pulsador.</t>
  </si>
  <si>
    <t xml:space="preserve">OG47 FIS 650 + IIS 200</t>
  </si>
  <si>
    <t xml:space="preserve">SAN-040</t>
  </si>
  <si>
    <t xml:space="preserve">Mueble de baño con lavabo</t>
  </si>
  <si>
    <t xml:space="preserve">Suministro de mueble de 60–80 cm con lavabo integrado (gama estándar Enzyme) y montaje.</t>
  </si>
  <si>
    <t xml:space="preserve">OG47 MA 300 + IMB 120</t>
  </si>
  <si>
    <t xml:space="preserve">SAN-050</t>
  </si>
  <si>
    <t xml:space="preserve">Grifería de lavabo</t>
  </si>
  <si>
    <t xml:space="preserve">Suministro de grifo monomando (gama estándar Enzyme) e instalación.</t>
  </si>
  <si>
    <t xml:space="preserve">OG47 GB 200 + IGL 55</t>
  </si>
  <si>
    <t xml:space="preserve">SAN-060</t>
  </si>
  <si>
    <t xml:space="preserve">Grifería termostática de ducha o bañera</t>
  </si>
  <si>
    <t xml:space="preserve">Suministro de conjunto termostático con rociador (gama estándar Enzyme) e instalación.</t>
  </si>
  <si>
    <t xml:space="preserve">OG47 GB 200 + IGD 55</t>
  </si>
  <si>
    <t xml:space="preserve">SAN-070</t>
  </si>
  <si>
    <t xml:space="preserve">Mampara fija de ducha</t>
  </si>
  <si>
    <t xml:space="preserve">Suministro de panel fijo de vidrio templado de 120–130 cm e instalación con perfilería y sellado.</t>
  </si>
  <si>
    <t xml:space="preserve">OG47 FM 300 + IM 120</t>
  </si>
  <si>
    <t xml:space="preserve">SAN-080</t>
  </si>
  <si>
    <t xml:space="preserve">Mampara de bañera</t>
  </si>
  <si>
    <t xml:space="preserve">Suministro de mampara lateral de vidrio templado para bañera e instalación.</t>
  </si>
  <si>
    <t xml:space="preserve">OG47 FM 200 + IM 120</t>
  </si>
  <si>
    <t xml:space="preserve">SAN-090</t>
  </si>
  <si>
    <t xml:space="preserve">Espejo de baño a medida</t>
  </si>
  <si>
    <t xml:space="preserve">Suministro y colocación de espejo con canteado y fijación oculta.</t>
  </si>
  <si>
    <t xml:space="preserve">OG47 FE</t>
  </si>
  <si>
    <t xml:space="preserve">SAN-100</t>
  </si>
  <si>
    <t xml:space="preserve">Toallero eléctrico</t>
  </si>
  <si>
    <t xml:space="preserve">Suministro de toallero eléctrico (gama estándar Enzyme) y conexión.</t>
  </si>
  <si>
    <t xml:space="preserve">OG47 ITE BS 200 + ITE 50</t>
  </si>
  <si>
    <t xml:space="preserve">SAN-110</t>
  </si>
  <si>
    <t xml:space="preserve">Toallero-radiador de agua</t>
  </si>
  <si>
    <t xml:space="preserve">Suministro de toallero-radiador y conexión a la calefacción (2 puntos), purgado.</t>
  </si>
  <si>
    <t xml:space="preserve">OG47 IRA: solo instalación 180 €</t>
  </si>
  <si>
    <t xml:space="preserve">SAN-120</t>
  </si>
  <si>
    <t xml:space="preserve">Juego de accesorios de baño</t>
  </si>
  <si>
    <t xml:space="preserve">Portarrollos, toallero de lavabo y percha (gama estándar Enzyme), suministro y colocación.</t>
  </si>
  <si>
    <t xml:space="preserve">COC-010</t>
  </si>
  <si>
    <t xml:space="preserve">Mobiliario de cocina con encimera</t>
  </si>
  <si>
    <t xml:space="preserve">Suministro y montaje de muebles bajos y altos (gama estándar Enzyme) con encimera de porcelánico o compacto. Medición por metro lineal de frente.</t>
  </si>
  <si>
    <t xml:space="preserve">OG47: lo compró la propiedad</t>
  </si>
  <si>
    <t xml:space="preserve">COC-020</t>
  </si>
  <si>
    <t xml:space="preserve">Montaje de cocina suministrada por la propiedad</t>
  </si>
  <si>
    <t xml:space="preserve">Montaje de muebles, encimera y fregadero suministrados por la propiedad.</t>
  </si>
  <si>
    <t xml:space="preserve">COC-030</t>
  </si>
  <si>
    <t xml:space="preserve">Conexión de electrodomésticos y fregadero</t>
  </si>
  <si>
    <t xml:space="preserve">Conexión de fregadero, lavavajillas, placa, horno, campana y frigorífico a sus instalaciones.</t>
  </si>
  <si>
    <t xml:space="preserve">ELE-010</t>
  </si>
  <si>
    <t xml:space="preserve">Instalación eléctrica: cuadro, circuitos y boletín</t>
  </si>
  <si>
    <t xml:space="preserve">Adecuación a REBT: cuadro nuevo con protecciones, circuitos independientes por usos, cableado y tubos, cajas, certificado de instalación (CIE).</t>
  </si>
  <si>
    <t xml:space="preserve">OG47 E-AIE</t>
  </si>
  <si>
    <t xml:space="preserve">ELE-020</t>
  </si>
  <si>
    <t xml:space="preserve">Punto de luz sencillo</t>
  </si>
  <si>
    <t xml:space="preserve">Un interruptor y un punto de luz, cableado y mecanismo de gama estándar.</t>
  </si>
  <si>
    <t xml:space="preserve">OG47 regla 35 €/mecanismo + 15 € primer punto</t>
  </si>
  <si>
    <t xml:space="preserve">ELE-030</t>
  </si>
  <si>
    <t xml:space="preserve">Punto de luz adicional en el mismo circuito</t>
  </si>
  <si>
    <t xml:space="preserve">Punto de luz adicional gobernado por un mecanismo ya contado.</t>
  </si>
  <si>
    <t xml:space="preserve">OG47 regla 10 €/punto adicional</t>
  </si>
  <si>
    <t xml:space="preserve">ELE-040</t>
  </si>
  <si>
    <t xml:space="preserve">Punto de luz conmutado</t>
  </si>
  <si>
    <t xml:space="preserve">Dos conmutadores y un punto de luz.</t>
  </si>
  <si>
    <t xml:space="preserve">OG47 regla 35 + 35 + 15</t>
  </si>
  <si>
    <t xml:space="preserve">ELE-050</t>
  </si>
  <si>
    <t xml:space="preserve">Punto de luz de cruce</t>
  </si>
  <si>
    <t xml:space="preserve">Dos conmutadores, un cruzamiento y un punto de luz.</t>
  </si>
  <si>
    <t xml:space="preserve">OG47 regla 35 + 35 + 35 + 15</t>
  </si>
  <si>
    <t xml:space="preserve">ELE-060</t>
  </si>
  <si>
    <t xml:space="preserve">Toma de corriente</t>
  </si>
  <si>
    <t xml:space="preserve">Base de enchufe 16 A con cableado y mecanismo de gama estándar.</t>
  </si>
  <si>
    <t xml:space="preserve">OG47 E-TC</t>
  </si>
  <si>
    <t xml:space="preserve">ELE-070</t>
  </si>
  <si>
    <t xml:space="preserve">Toma de corriente con cargador USB-C</t>
  </si>
  <si>
    <t xml:space="preserve">Base de enchufe con cargador USB-C integrado.</t>
  </si>
  <si>
    <t xml:space="preserve">OG47 E-TC (USB-C)</t>
  </si>
  <si>
    <t xml:space="preserve">ELE-080</t>
  </si>
  <si>
    <t xml:space="preserve">Toma de TV o datos</t>
  </si>
  <si>
    <t xml:space="preserve">Toma de TV o RJ45 con canalización desde registro.</t>
  </si>
  <si>
    <t xml:space="preserve">OG47 E-TC (TV/datos)</t>
  </si>
  <si>
    <t xml:space="preserve">ELE-090</t>
  </si>
  <si>
    <t xml:space="preserve">Toma para electrodoméstico</t>
  </si>
  <si>
    <t xml:space="preserve">Toma en circuito específico para horno, placa, lavadora, lavavajillas o secadora.</t>
  </si>
  <si>
    <t xml:space="preserve">OG47 E-TC (electrodomésticos)</t>
  </si>
  <si>
    <t xml:space="preserve">ELE-100</t>
  </si>
  <si>
    <t xml:space="preserve">Mecanismo de persiana motorizada</t>
  </si>
  <si>
    <t xml:space="preserve">Interruptor de subida y bajada para motor de persiana, con cableado.</t>
  </si>
  <si>
    <t xml:space="preserve">OG47 E-IP</t>
  </si>
  <si>
    <t xml:space="preserve">ELE-110</t>
  </si>
  <si>
    <t xml:space="preserve">Timbre</t>
  </si>
  <si>
    <t xml:space="preserve">Pulsador y zumbador con cableado.</t>
  </si>
  <si>
    <t xml:space="preserve">OG47 E-ZT</t>
  </si>
  <si>
    <t xml:space="preserve">ELE-120</t>
  </si>
  <si>
    <t xml:space="preserve">Videoportero, terminal interior</t>
  </si>
  <si>
    <t xml:space="preserve">Sustitución o reubicación del terminal interior compatible con la instalación del edificio.</t>
  </si>
  <si>
    <t xml:space="preserve">ELE-130</t>
  </si>
  <si>
    <t xml:space="preserve">Detector de humo autónomo</t>
  </si>
  <si>
    <t xml:space="preserve">Detector óptico autónomo con batería, colocado en techo.</t>
  </si>
  <si>
    <t xml:space="preserve">ILU-010</t>
  </si>
  <si>
    <t xml:space="preserve">Aplique de pared</t>
  </si>
  <si>
    <t xml:space="preserve">Suministro de aplique (gama estándar Enzyme) e instalación.</t>
  </si>
  <si>
    <t xml:space="preserve">OG47 I-IAP: solo instalación 35 €</t>
  </si>
  <si>
    <t xml:space="preserve">ILU-020</t>
  </si>
  <si>
    <t xml:space="preserve">Downlight LED empotrado</t>
  </si>
  <si>
    <t xml:space="preserve">Suministro de downlight LED orientable GU10 e instalación con apertura de hueco en falso techo.</t>
  </si>
  <si>
    <t xml:space="preserve">OG47 L-FLO 22 + I-FL 20</t>
  </si>
  <si>
    <t xml:space="preserve">ILU-030</t>
  </si>
  <si>
    <t xml:space="preserve">Tira LED con perfil</t>
  </si>
  <si>
    <t xml:space="preserve">Suministro de tira LED con perfil de aluminio, difusor y driver, e instalación.</t>
  </si>
  <si>
    <t xml:space="preserve">OG47 L-L 20 + I-TL 15</t>
  </si>
  <si>
    <t xml:space="preserve">ILU-040</t>
  </si>
  <si>
    <t xml:space="preserve">Baliza empotrada de pared</t>
  </si>
  <si>
    <t xml:space="preserve">Suministro de baliza tipo ojo de buey e instalación.</t>
  </si>
  <si>
    <t xml:space="preserve">OG47 L-AP 15 + I-IAP 35</t>
  </si>
  <si>
    <t xml:space="preserve">CLI-010</t>
  </si>
  <si>
    <t xml:space="preserve">Adaptación de calefacción por radiadores</t>
  </si>
  <si>
    <t xml:space="preserve">Adaptación del circuito a la nueva distribución, radiadores, purgado, prueba y puesta en marcha. Referencia 30 € por elemento de radiador.</t>
  </si>
  <si>
    <t xml:space="preserve">OG47 calefacción (91 m²)</t>
  </si>
  <si>
    <t xml:space="preserve">CLI-020</t>
  </si>
  <si>
    <t xml:space="preserve">Aire acondicionado multisplit 3×1</t>
  </si>
  <si>
    <t xml:space="preserve">Unidad exterior y tres splits, líneas frigoríficas, condensados, conexión y puesta en marcha.</t>
  </si>
  <si>
    <t xml:space="preserve">OG47 aire acondicionado</t>
  </si>
  <si>
    <t xml:space="preserve">CLI-030</t>
  </si>
  <si>
    <t xml:space="preserve">Extractor con conducto</t>
  </si>
  <si>
    <t xml:space="preserve">Extractor en baño, aseo, lavandería o cocina conectado a conducto, con temporizador.</t>
  </si>
  <si>
    <t xml:space="preserve">OG47 IEB</t>
  </si>
  <si>
    <t xml:space="preserve">CLI-040</t>
  </si>
  <si>
    <t xml:space="preserve">Conducto de campana extractora</t>
  </si>
  <si>
    <t xml:space="preserve">Conducto de evacuación de campana hasta shunt o fachada, con rejilla y antirretorno.</t>
  </si>
  <si>
    <t xml:space="preserve">PIN-010</t>
  </si>
  <si>
    <t xml:space="preserve">Pintura plástica lisa en paredes</t>
  </si>
  <si>
    <t xml:space="preserve">Lijado, plastecido y 2–3 manos de pintura plástica lisa mate (blanco o color estándar).</t>
  </si>
  <si>
    <t xml:space="preserve">OG47 P-PVI</t>
  </si>
  <si>
    <t xml:space="preserve">PIN-020</t>
  </si>
  <si>
    <t xml:space="preserve">Pintura plástica lisa en techos</t>
  </si>
  <si>
    <t xml:space="preserve">Lijado, plastecido y 2–3 manos de pintura plástica lisa mate blanca, sin marcas de juntas.</t>
  </si>
  <si>
    <t xml:space="preserve">OG47 P-PHI</t>
  </si>
  <si>
    <t xml:space="preserve">PIN-030</t>
  </si>
  <si>
    <t xml:space="preserve">Lacado de puerta o radiador existente</t>
  </si>
  <si>
    <t xml:space="preserve">Lijado, imprimación y lacado de elemento existente que se conserva.</t>
  </si>
  <si>
    <t xml:space="preserve">AYU-010</t>
  </si>
  <si>
    <t xml:space="preserve">Ayudas de albañilería a instalaciones</t>
  </si>
  <si>
    <t xml:space="preserve">Rozas, pasos, recibido de cajas y cercos, remates y acarreo a contenedor durante toda la obra.</t>
  </si>
  <si>
    <t xml:space="preserve">OG47 AT1 (91 m²)</t>
  </si>
  <si>
    <t xml:space="preserve">RES-010</t>
  </si>
  <si>
    <t xml:space="preserve">Contenedor de escombros</t>
  </si>
  <si>
    <t xml:space="preserve">Suministro, cambio y retirada de contenedor de RCD a gestor autorizado.</t>
  </si>
  <si>
    <t xml:space="preserve">OG47 TP-CON</t>
  </si>
  <si>
    <t xml:space="preserve">RES-020</t>
  </si>
  <si>
    <t xml:space="preserve">Gestión documental de residuos</t>
  </si>
  <si>
    <t xml:space="preserve">Estudio de gestión de residuos y certificados del gestor, según exija la licencia.</t>
  </si>
  <si>
    <t xml:space="preserve">SYS-010</t>
  </si>
  <si>
    <t xml:space="preserve">Protecciones colectivas, EPIs, señalización y botiquín durante la obra.</t>
  </si>
  <si>
    <t xml:space="preserve">LIM-010</t>
  </si>
  <si>
    <t xml:space="preserve">Limpieza de fin de obra</t>
  </si>
  <si>
    <t xml:space="preserve">Limpieza general de todas las estancias y retirada de protecciones.</t>
  </si>
  <si>
    <t xml:space="preserve">OG47 LFO1 (incluía también las protecciones de PRE-010)</t>
  </si>
  <si>
    <t xml:space="preserve">Plantilla</t>
  </si>
  <si>
    <t xml:space="preserve">Estancia</t>
  </si>
  <si>
    <t xml:space="preserve">Tamaño en</t>
  </si>
  <si>
    <t xml:space="preserve">Partida</t>
  </si>
  <si>
    <t xml:space="preserve">Factor</t>
  </si>
  <si>
    <t xml:space="preserve">Fijo</t>
  </si>
  <si>
    <t xml:space="preserve">Nota</t>
  </si>
  <si>
    <t xml:space="preserve">GEN</t>
  </si>
  <si>
    <t xml:space="preserve">Partidas generales de la vivienda</t>
  </si>
  <si>
    <t xml:space="preserve">m² útiles de vivienda</t>
  </si>
  <si>
    <t xml:space="preserve">OG47: 4 contenedores / 91 m²</t>
  </si>
  <si>
    <t xml:space="preserve">DOR</t>
  </si>
  <si>
    <t xml:space="preserve">Dormitorio</t>
  </si>
  <si>
    <t xml:space="preserve">m² de suelo</t>
  </si>
  <si>
    <t xml:space="preserve">OG47: 80 m / 91 m²</t>
  </si>
  <si>
    <t xml:space="preserve">OG47: 220 m² / 91 m²</t>
  </si>
  <si>
    <t xml:space="preserve">SAL</t>
  </si>
  <si>
    <t xml:space="preserve">Salón-comedor</t>
  </si>
  <si>
    <t xml:space="preserve">PAS</t>
  </si>
  <si>
    <t xml:space="preserve">Pasillo o hall</t>
  </si>
  <si>
    <t xml:space="preserve">BAN</t>
  </si>
  <si>
    <t xml:space="preserve">Baño completo con ducha</t>
  </si>
  <si>
    <t xml:space="preserve">OG47: 38,9 m² alicatado / 10,5 m² suelo húmedo</t>
  </si>
  <si>
    <t xml:space="preserve">lavabo 2 + ducha 2 + inodoro 0,5</t>
  </si>
  <si>
    <t xml:space="preserve">ASE</t>
  </si>
  <si>
    <t xml:space="preserve">Aseo</t>
  </si>
  <si>
    <t xml:space="preserve">LAV</t>
  </si>
  <si>
    <t xml:space="preserve">Lavandería</t>
  </si>
  <si>
    <t xml:space="preserve">VEN</t>
  </si>
  <si>
    <t xml:space="preserve">Sustitución de ventanas</t>
  </si>
  <si>
    <t xml:space="preserve">número de ventanas</t>
  </si>
  <si>
    <t xml:space="preserve">DBA</t>
  </si>
  <si>
    <t xml:space="preserve">Demolición de baño o cocina existente</t>
  </si>
  <si>
    <t xml:space="preserve">paredes (≈3,7×) + suelo (1×)</t>
  </si>
  <si>
    <t xml:space="preserve">Calculadora de oferta — calidad estándar Enzyme</t>
  </si>
  <si>
    <t xml:space="preserve">Rellene en azul: nombre de estancia, plantilla y tamaño (m², o nº de ventanas para VEN). Ejemplo con superficies aproximadas de Ortega y Gasset 47; ajústelas.</t>
  </si>
  <si>
    <t xml:space="preserve">Vivienda</t>
  </si>
  <si>
    <t xml:space="preserve">Dormitorio principal</t>
  </si>
  <si>
    <t xml:space="preserve">Dormitorio 2</t>
  </si>
  <si>
    <t xml:space="preserve">Dormitorio 3</t>
  </si>
  <si>
    <t xml:space="preserve">Pasillo</t>
  </si>
  <si>
    <t xml:space="preserve">Hall</t>
  </si>
  <si>
    <t xml:space="preserve">Baño principal</t>
  </si>
  <si>
    <t xml:space="preserve">Baño 2</t>
  </si>
  <si>
    <t xml:space="preserve">Ventanas</t>
  </si>
  <si>
    <t xml:space="preserve">Tamaño</t>
  </si>
  <si>
    <t xml:space="preserve">Cap.</t>
  </si>
  <si>
    <t xml:space="preserve">Cantidad</t>
  </si>
  <si>
    <t xml:space="preserve">Precio (€/ud)</t>
  </si>
  <si>
    <t xml:space="preserve">Importe (€)</t>
  </si>
  <si>
    <t xml:space="preserve">Ejecución material (partidas con precio)</t>
  </si>
  <si>
    <t xml:space="preserve">Imprevistos (%)</t>
  </si>
  <si>
    <t xml:space="preserve">Imprevistos</t>
  </si>
  <si>
    <t xml:space="preserve">Total obra sin IVA</t>
  </si>
  <si>
    <t xml:space="preserve">IVA (%)</t>
  </si>
  <si>
    <t xml:space="preserve">Total obra con IVA</t>
  </si>
  <si>
    <t xml:space="preserve">Partidas con cantidad y sin precio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</si>
</sst>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€&quot;;\-#,##0.00&quot; €&quot;;\-"/>
    <numFmt numFmtId="166" formatCode="0.000;\-0.000;\-"/>
    <numFmt numFmtId="167" formatCode="#,##0&quot; €&quot;;\-#,##0&quot; €&quot;;\-"/>
    <numFmt numFmtId="168" formatCode="#,##0.00;\-#,##0.00;\-"/>
    <numFmt numFmtId="169" formatCode="0.0%"/>
    <numFmt numFmtId="170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2321"/>
        <bgColor rgb="FF333300"/>
      </patternFill>
    </fill>
    <fill>
      <patternFill patternType="solid">
        <fgColor rgb="FFFFF2CC"/>
        <bgColor rgb="FFE8E3D8"/>
      </patternFill>
    </fill>
    <fill>
      <patternFill patternType="solid">
        <fgColor rgb="FFE8E3D8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C232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E3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3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3.8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2" t="s">
        <v>21</v>
      </c>
    </row>
    <row r="28" customFormat="false" ht="23.8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23.8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3" customFormat="false" ht="15" hidden="false" customHeight="false" outlineLevel="0" collapsed="false">
      <c r="A3" s="0" t="s">
        <v>31</v>
      </c>
      <c r="B3" s="0" t="s">
        <v>32</v>
      </c>
      <c r="C3" s="0" t="s">
        <v>33</v>
      </c>
      <c r="D3" s="0" t="n">
        <v>10</v>
      </c>
      <c r="E3" s="0" t="n">
        <f aca="false">COUNTIF(Partidas!$B:$B,A3)</f>
        <v>4</v>
      </c>
    </row>
    <row r="4" customFormat="false" ht="15" hidden="false" customHeight="false" outlineLevel="0" collapsed="false">
      <c r="A4" s="0" t="s">
        <v>34</v>
      </c>
      <c r="B4" s="0" t="s">
        <v>35</v>
      </c>
      <c r="C4" s="0" t="s">
        <v>36</v>
      </c>
      <c r="D4" s="0" t="n">
        <v>20</v>
      </c>
      <c r="E4" s="0" t="n">
        <f aca="false">COUNTIF(Partidas!$B:$B,A4)</f>
        <v>12</v>
      </c>
    </row>
    <row r="5" customFormat="false" ht="15" hidden="false" customHeight="false" outlineLevel="0" collapsed="false">
      <c r="A5" s="0" t="s">
        <v>37</v>
      </c>
      <c r="B5" s="0" t="s">
        <v>38</v>
      </c>
      <c r="C5" s="0" t="s">
        <v>39</v>
      </c>
      <c r="D5" s="0" t="n">
        <v>30</v>
      </c>
      <c r="E5" s="0" t="n">
        <f aca="false">COUNTIF(Partidas!$B:$B,A5)</f>
        <v>3</v>
      </c>
    </row>
    <row r="6" customFormat="false" ht="15" hidden="false" customHeight="false" outlineLevel="0" collapsed="false">
      <c r="A6" s="0" t="s">
        <v>40</v>
      </c>
      <c r="B6" s="0" t="s">
        <v>41</v>
      </c>
      <c r="C6" s="0" t="s">
        <v>42</v>
      </c>
      <c r="D6" s="0" t="n">
        <v>40</v>
      </c>
      <c r="E6" s="0" t="n">
        <f aca="false">COUNTIF(Partidas!$B:$B,A6)</f>
        <v>5</v>
      </c>
    </row>
    <row r="7" customFormat="false" ht="15" hidden="false" customHeight="false" outlineLevel="0" collapsed="false">
      <c r="A7" s="0" t="s">
        <v>43</v>
      </c>
      <c r="B7" s="0" t="s">
        <v>44</v>
      </c>
      <c r="C7" s="0" t="s">
        <v>45</v>
      </c>
      <c r="D7" s="0" t="n">
        <v>50</v>
      </c>
      <c r="E7" s="0" t="n">
        <f aca="false">COUNTIF(Partidas!$B:$B,A7)</f>
        <v>3</v>
      </c>
    </row>
    <row r="8" customFormat="false" ht="15" hidden="false" customHeight="false" outlineLevel="0" collapsed="false">
      <c r="A8" s="0" t="s">
        <v>46</v>
      </c>
      <c r="B8" s="0" t="s">
        <v>47</v>
      </c>
      <c r="C8" s="0" t="s">
        <v>42</v>
      </c>
      <c r="D8" s="0" t="n">
        <v>60</v>
      </c>
      <c r="E8" s="0" t="n">
        <f aca="false">COUNTIF(Partidas!$B:$B,A8)</f>
        <v>5</v>
      </c>
    </row>
    <row r="9" customFormat="false" ht="15" hidden="false" customHeight="false" outlineLevel="0" collapsed="false">
      <c r="A9" s="0" t="s">
        <v>48</v>
      </c>
      <c r="B9" s="0" t="s">
        <v>49</v>
      </c>
      <c r="C9" s="0" t="s">
        <v>42</v>
      </c>
      <c r="D9" s="0" t="n">
        <v>70</v>
      </c>
      <c r="E9" s="0" t="n">
        <f aca="false">COUNTIF(Partidas!$B:$B,A9)</f>
        <v>6</v>
      </c>
    </row>
    <row r="10" customFormat="false" ht="15" hidden="false" customHeight="false" outlineLevel="0" collapsed="false">
      <c r="A10" s="0" t="s">
        <v>50</v>
      </c>
      <c r="B10" s="0" t="s">
        <v>51</v>
      </c>
      <c r="C10" s="0" t="s">
        <v>52</v>
      </c>
      <c r="D10" s="0" t="n">
        <v>80</v>
      </c>
      <c r="E10" s="0" t="n">
        <f aca="false">COUNTIF(Partidas!$B:$B,A10)</f>
        <v>4</v>
      </c>
    </row>
    <row r="11" customFormat="false" ht="15" hidden="false" customHeight="false" outlineLevel="0" collapsed="false">
      <c r="A11" s="0" t="s">
        <v>53</v>
      </c>
      <c r="B11" s="0" t="s">
        <v>54</v>
      </c>
      <c r="C11" s="0" t="s">
        <v>52</v>
      </c>
      <c r="D11" s="0" t="n">
        <v>90</v>
      </c>
      <c r="E11" s="0" t="n">
        <f aca="false">COUNTIF(Partidas!$B:$B,A11)</f>
        <v>6</v>
      </c>
    </row>
    <row r="12" customFormat="false" ht="15" hidden="false" customHeight="false" outlineLevel="0" collapsed="false">
      <c r="A12" s="0" t="s">
        <v>55</v>
      </c>
      <c r="B12" s="0" t="s">
        <v>56</v>
      </c>
      <c r="C12" s="0" t="s">
        <v>57</v>
      </c>
      <c r="D12" s="0" t="n">
        <v>100</v>
      </c>
      <c r="E12" s="0" t="n">
        <f aca="false">COUNTIF(Partidas!$B:$B,A12)</f>
        <v>5</v>
      </c>
    </row>
    <row r="13" customFormat="false" ht="15" hidden="false" customHeight="false" outlineLevel="0" collapsed="false">
      <c r="A13" s="0" t="s">
        <v>58</v>
      </c>
      <c r="B13" s="0" t="s">
        <v>59</v>
      </c>
      <c r="C13" s="0" t="s">
        <v>57</v>
      </c>
      <c r="D13" s="0" t="n">
        <v>110</v>
      </c>
      <c r="E13" s="0" t="n">
        <f aca="false">COUNTIF(Partidas!$B:$B,A13)</f>
        <v>12</v>
      </c>
    </row>
    <row r="14" customFormat="false" ht="15" hidden="false" customHeight="false" outlineLevel="0" collapsed="false">
      <c r="A14" s="0" t="s">
        <v>60</v>
      </c>
      <c r="B14" s="0" t="s">
        <v>61</v>
      </c>
      <c r="C14" s="0" t="s">
        <v>62</v>
      </c>
      <c r="D14" s="0" t="n">
        <v>120</v>
      </c>
      <c r="E14" s="0" t="n">
        <f aca="false">COUNTIF(Partidas!$B:$B,A14)</f>
        <v>3</v>
      </c>
    </row>
    <row r="15" customFormat="false" ht="15" hidden="false" customHeight="false" outlineLevel="0" collapsed="false">
      <c r="A15" s="0" t="s">
        <v>63</v>
      </c>
      <c r="B15" s="0" t="s">
        <v>64</v>
      </c>
      <c r="C15" s="0" t="s">
        <v>57</v>
      </c>
      <c r="D15" s="0" t="n">
        <v>130</v>
      </c>
      <c r="E15" s="0" t="n">
        <f aca="false">COUNTIF(Partidas!$B:$B,A15)</f>
        <v>13</v>
      </c>
    </row>
    <row r="16" customFormat="false" ht="15" hidden="false" customHeight="false" outlineLevel="0" collapsed="false">
      <c r="A16" s="0" t="s">
        <v>65</v>
      </c>
      <c r="B16" s="0" t="s">
        <v>66</v>
      </c>
      <c r="C16" s="0" t="s">
        <v>57</v>
      </c>
      <c r="D16" s="0" t="n">
        <v>140</v>
      </c>
      <c r="E16" s="0" t="n">
        <f aca="false">COUNTIF(Partidas!$B:$B,A16)</f>
        <v>4</v>
      </c>
    </row>
    <row r="17" customFormat="false" ht="15" hidden="false" customHeight="false" outlineLevel="0" collapsed="false">
      <c r="A17" s="0" t="s">
        <v>67</v>
      </c>
      <c r="B17" s="0" t="s">
        <v>68</v>
      </c>
      <c r="C17" s="0" t="s">
        <v>57</v>
      </c>
      <c r="D17" s="0" t="n">
        <v>150</v>
      </c>
      <c r="E17" s="0" t="n">
        <f aca="false">COUNTIF(Partidas!$B:$B,A17)</f>
        <v>4</v>
      </c>
    </row>
    <row r="18" customFormat="false" ht="15" hidden="false" customHeight="false" outlineLevel="0" collapsed="false">
      <c r="A18" s="0" t="s">
        <v>69</v>
      </c>
      <c r="B18" s="0" t="s">
        <v>70</v>
      </c>
      <c r="C18" s="0" t="s">
        <v>42</v>
      </c>
      <c r="D18" s="0" t="n">
        <v>160</v>
      </c>
      <c r="E18" s="0" t="n">
        <f aca="false">COUNTIF(Partidas!$B:$B,A18)</f>
        <v>3</v>
      </c>
    </row>
    <row r="19" customFormat="false" ht="15" hidden="false" customHeight="false" outlineLevel="0" collapsed="false">
      <c r="A19" s="0" t="s">
        <v>71</v>
      </c>
      <c r="B19" s="0" t="s">
        <v>72</v>
      </c>
      <c r="C19" s="0" t="s">
        <v>73</v>
      </c>
      <c r="D19" s="0" t="n">
        <v>170</v>
      </c>
      <c r="E19" s="0" t="n">
        <f aca="false">COUNTIF(Partidas!$B:$B,A19)</f>
        <v>1</v>
      </c>
    </row>
    <row r="20" customFormat="false" ht="15" hidden="false" customHeight="false" outlineLevel="0" collapsed="false">
      <c r="A20" s="0" t="s">
        <v>74</v>
      </c>
      <c r="B20" s="0" t="s">
        <v>75</v>
      </c>
      <c r="C20" s="0" t="s">
        <v>76</v>
      </c>
      <c r="D20" s="0" t="n">
        <v>180</v>
      </c>
      <c r="E20" s="0" t="n">
        <f aca="false">COUNTIF(Partidas!$B:$B,A20)</f>
        <v>2</v>
      </c>
    </row>
    <row r="21" customFormat="false" ht="15" hidden="false" customHeight="false" outlineLevel="0" collapsed="false">
      <c r="A21" s="0" t="s">
        <v>77</v>
      </c>
      <c r="B21" s="0" t="s">
        <v>78</v>
      </c>
      <c r="C21" s="0" t="s">
        <v>79</v>
      </c>
      <c r="D21" s="0" t="n">
        <v>190</v>
      </c>
      <c r="E21" s="0" t="n">
        <f aca="false">COUNTIF(Partidas!$B:$B,A21)</f>
        <v>1</v>
      </c>
    </row>
    <row r="22" customFormat="false" ht="15" hidden="false" customHeight="false" outlineLevel="0" collapsed="false">
      <c r="A22" s="0" t="s">
        <v>80</v>
      </c>
      <c r="B22" s="0" t="s">
        <v>81</v>
      </c>
      <c r="C22" s="0" t="s">
        <v>73</v>
      </c>
      <c r="D22" s="0" t="n">
        <v>200</v>
      </c>
      <c r="E22" s="0" t="n">
        <f aca="false">COUNTIF(Partidas!$B:$B,A22)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4" min="4" style="0" width="42"/>
    <col collapsed="false" customWidth="true" hidden="false" outlineLevel="0" max="5" min="5" style="0" width="70"/>
    <col collapsed="false" customWidth="true" hidden="false" outlineLevel="0" max="6" min="6" style="0" width="14"/>
    <col collapsed="false" customWidth="true" hidden="false" outlineLevel="0" max="7" min="7" style="0" width="46"/>
    <col collapsed="false" customWidth="true" hidden="false" outlineLevel="0" max="9" min="8" style="0" width="12"/>
  </cols>
  <sheetData>
    <row r="1" customFormat="false" ht="35.05" hidden="false" customHeight="false" outlineLevel="0" collapsed="false">
      <c r="A1" s="4" t="s">
        <v>26</v>
      </c>
      <c r="B1" s="4" t="s">
        <v>27</v>
      </c>
      <c r="C1" s="4" t="s">
        <v>82</v>
      </c>
      <c r="D1" s="4" t="s">
        <v>83</v>
      </c>
      <c r="E1" s="4" t="s">
        <v>84</v>
      </c>
      <c r="F1" s="4" t="s">
        <v>85</v>
      </c>
      <c r="G1" s="4" t="s">
        <v>86</v>
      </c>
      <c r="H1" s="4" t="s">
        <v>87</v>
      </c>
      <c r="I1" s="4" t="s">
        <v>88</v>
      </c>
    </row>
    <row r="3" customFormat="false" ht="28.35" hidden="false" customHeight="false" outlineLevel="0" collapsed="false">
      <c r="A3" s="0" t="s">
        <v>89</v>
      </c>
      <c r="B3" s="0" t="s">
        <v>31</v>
      </c>
      <c r="C3" s="0" t="s">
        <v>90</v>
      </c>
      <c r="D3" s="5" t="s">
        <v>91</v>
      </c>
      <c r="E3" s="5" t="s">
        <v>92</v>
      </c>
      <c r="F3" s="6"/>
      <c r="G3" s="5" t="s">
        <v>93</v>
      </c>
      <c r="H3" s="7"/>
      <c r="I3" s="0" t="str">
        <f aca="false">IF(F3="","Sin precio","Con precio")</f>
        <v>Sin precio</v>
      </c>
    </row>
    <row r="4" customFormat="false" ht="28.35" hidden="false" customHeight="false" outlineLevel="0" collapsed="false">
      <c r="A4" s="0" t="s">
        <v>94</v>
      </c>
      <c r="B4" s="0" t="s">
        <v>31</v>
      </c>
      <c r="C4" s="0" t="s">
        <v>90</v>
      </c>
      <c r="D4" s="5" t="s">
        <v>95</v>
      </c>
      <c r="E4" s="5" t="s">
        <v>96</v>
      </c>
      <c r="F4" s="6"/>
      <c r="G4" s="5"/>
      <c r="H4" s="7"/>
      <c r="I4" s="0" t="str">
        <f aca="false">IF(F4="","Sin precio","Con precio")</f>
        <v>Sin precio</v>
      </c>
    </row>
    <row r="5" customFormat="false" ht="28.35" hidden="false" customHeight="false" outlineLevel="0" collapsed="false">
      <c r="A5" s="0" t="s">
        <v>97</v>
      </c>
      <c r="B5" s="0" t="s">
        <v>31</v>
      </c>
      <c r="C5" s="0" t="s">
        <v>90</v>
      </c>
      <c r="D5" s="5" t="s">
        <v>98</v>
      </c>
      <c r="E5" s="5" t="s">
        <v>99</v>
      </c>
      <c r="F5" s="6"/>
      <c r="G5" s="5"/>
      <c r="H5" s="7"/>
      <c r="I5" s="0" t="str">
        <f aca="false">IF(F5="","Sin precio","Con precio")</f>
        <v>Sin precio</v>
      </c>
    </row>
    <row r="6" customFormat="false" ht="28.35" hidden="false" customHeight="false" outlineLevel="0" collapsed="false">
      <c r="A6" s="0" t="s">
        <v>100</v>
      </c>
      <c r="B6" s="0" t="s">
        <v>31</v>
      </c>
      <c r="C6" s="0" t="s">
        <v>90</v>
      </c>
      <c r="D6" s="5" t="s">
        <v>101</v>
      </c>
      <c r="E6" s="5" t="s">
        <v>102</v>
      </c>
      <c r="F6" s="6"/>
      <c r="G6" s="5"/>
      <c r="H6" s="7"/>
      <c r="I6" s="0" t="str">
        <f aca="false">IF(F6="","Sin precio","Con precio")</f>
        <v>Sin precio</v>
      </c>
    </row>
    <row r="7" customFormat="false" ht="28.35" hidden="false" customHeight="false" outlineLevel="0" collapsed="false">
      <c r="A7" s="0" t="s">
        <v>103</v>
      </c>
      <c r="B7" s="0" t="s">
        <v>34</v>
      </c>
      <c r="C7" s="0" t="s">
        <v>90</v>
      </c>
      <c r="D7" s="5" t="s">
        <v>104</v>
      </c>
      <c r="E7" s="5" t="s">
        <v>105</v>
      </c>
      <c r="F7" s="8" t="n">
        <v>500</v>
      </c>
      <c r="G7" s="5" t="s">
        <v>106</v>
      </c>
      <c r="H7" s="7"/>
      <c r="I7" s="0" t="str">
        <f aca="false">IF(F7="","Sin precio","Con precio")</f>
        <v>Con precio</v>
      </c>
    </row>
    <row r="8" customFormat="false" ht="28.35" hidden="false" customHeight="false" outlineLevel="0" collapsed="false">
      <c r="A8" s="0" t="s">
        <v>107</v>
      </c>
      <c r="B8" s="0" t="s">
        <v>34</v>
      </c>
      <c r="C8" s="0" t="s">
        <v>108</v>
      </c>
      <c r="D8" s="5" t="s">
        <v>109</v>
      </c>
      <c r="E8" s="5" t="s">
        <v>110</v>
      </c>
      <c r="F8" s="8" t="n">
        <v>32</v>
      </c>
      <c r="G8" s="5" t="s">
        <v>111</v>
      </c>
      <c r="H8" s="7"/>
      <c r="I8" s="0" t="str">
        <f aca="false">IF(F8="","Sin precio","Con precio")</f>
        <v>Con precio</v>
      </c>
    </row>
    <row r="9" customFormat="false" ht="41.75" hidden="false" customHeight="false" outlineLevel="0" collapsed="false">
      <c r="A9" s="0" t="s">
        <v>112</v>
      </c>
      <c r="B9" s="0" t="s">
        <v>34</v>
      </c>
      <c r="C9" s="0" t="s">
        <v>113</v>
      </c>
      <c r="D9" s="5" t="s">
        <v>114</v>
      </c>
      <c r="E9" s="5" t="s">
        <v>115</v>
      </c>
      <c r="F9" s="8" t="n">
        <v>24</v>
      </c>
      <c r="G9" s="5" t="s">
        <v>116</v>
      </c>
      <c r="H9" s="7"/>
      <c r="I9" s="0" t="str">
        <f aca="false">IF(F9="","Sin precio","Con precio")</f>
        <v>Con precio</v>
      </c>
    </row>
    <row r="10" customFormat="false" ht="28.35" hidden="false" customHeight="false" outlineLevel="0" collapsed="false">
      <c r="A10" s="0" t="s">
        <v>117</v>
      </c>
      <c r="B10" s="0" t="s">
        <v>34</v>
      </c>
      <c r="C10" s="0" t="s">
        <v>113</v>
      </c>
      <c r="D10" s="5" t="s">
        <v>118</v>
      </c>
      <c r="E10" s="5" t="s">
        <v>119</v>
      </c>
      <c r="F10" s="8" t="n">
        <v>16</v>
      </c>
      <c r="G10" s="5" t="s">
        <v>120</v>
      </c>
      <c r="H10" s="7"/>
      <c r="I10" s="0" t="str">
        <f aca="false">IF(F10="","Sin precio","Con precio")</f>
        <v>Con precio</v>
      </c>
    </row>
    <row r="11" customFormat="false" ht="28.35" hidden="false" customHeight="false" outlineLevel="0" collapsed="false">
      <c r="A11" s="0" t="s">
        <v>121</v>
      </c>
      <c r="B11" s="0" t="s">
        <v>34</v>
      </c>
      <c r="C11" s="0" t="s">
        <v>113</v>
      </c>
      <c r="D11" s="5" t="s">
        <v>122</v>
      </c>
      <c r="E11" s="5" t="s">
        <v>123</v>
      </c>
      <c r="F11" s="6"/>
      <c r="G11" s="5"/>
      <c r="H11" s="7"/>
      <c r="I11" s="0" t="str">
        <f aca="false">IF(F11="","Sin precio","Con precio")</f>
        <v>Sin precio</v>
      </c>
    </row>
    <row r="12" customFormat="false" ht="15" hidden="false" customHeight="false" outlineLevel="0" collapsed="false">
      <c r="A12" s="0" t="s">
        <v>124</v>
      </c>
      <c r="B12" s="0" t="s">
        <v>34</v>
      </c>
      <c r="C12" s="0" t="s">
        <v>113</v>
      </c>
      <c r="D12" s="5" t="s">
        <v>125</v>
      </c>
      <c r="E12" s="5" t="s">
        <v>126</v>
      </c>
      <c r="F12" s="8" t="n">
        <v>10</v>
      </c>
      <c r="G12" s="5" t="s">
        <v>120</v>
      </c>
      <c r="H12" s="7"/>
      <c r="I12" s="0" t="str">
        <f aca="false">IF(F12="","Sin precio","Con precio")</f>
        <v>Con precio</v>
      </c>
    </row>
    <row r="13" customFormat="false" ht="15" hidden="false" customHeight="false" outlineLevel="0" collapsed="false">
      <c r="A13" s="0" t="s">
        <v>127</v>
      </c>
      <c r="B13" s="0" t="s">
        <v>34</v>
      </c>
      <c r="C13" s="0" t="s">
        <v>108</v>
      </c>
      <c r="D13" s="5" t="s">
        <v>128</v>
      </c>
      <c r="E13" s="5" t="s">
        <v>129</v>
      </c>
      <c r="F13" s="8" t="n">
        <v>60</v>
      </c>
      <c r="G13" s="5" t="s">
        <v>130</v>
      </c>
      <c r="H13" s="7"/>
      <c r="I13" s="0" t="str">
        <f aca="false">IF(F13="","Sin precio","Con precio")</f>
        <v>Con precio</v>
      </c>
    </row>
    <row r="14" customFormat="false" ht="28.35" hidden="false" customHeight="false" outlineLevel="0" collapsed="false">
      <c r="A14" s="0" t="s">
        <v>131</v>
      </c>
      <c r="B14" s="0" t="s">
        <v>34</v>
      </c>
      <c r="C14" s="0" t="s">
        <v>113</v>
      </c>
      <c r="D14" s="5" t="s">
        <v>132</v>
      </c>
      <c r="E14" s="5" t="s">
        <v>133</v>
      </c>
      <c r="F14" s="8" t="n">
        <v>18</v>
      </c>
      <c r="G14" s="5" t="s">
        <v>134</v>
      </c>
      <c r="H14" s="7"/>
      <c r="I14" s="0" t="str">
        <f aca="false">IF(F14="","Sin precio","Con precio")</f>
        <v>Con precio</v>
      </c>
    </row>
    <row r="15" customFormat="false" ht="28.35" hidden="false" customHeight="false" outlineLevel="0" collapsed="false">
      <c r="A15" s="0" t="s">
        <v>135</v>
      </c>
      <c r="B15" s="0" t="s">
        <v>34</v>
      </c>
      <c r="C15" s="0" t="s">
        <v>113</v>
      </c>
      <c r="D15" s="5" t="s">
        <v>136</v>
      </c>
      <c r="E15" s="5" t="s">
        <v>137</v>
      </c>
      <c r="F15" s="8" t="n">
        <v>28</v>
      </c>
      <c r="G15" s="5" t="s">
        <v>138</v>
      </c>
      <c r="H15" s="7"/>
      <c r="I15" s="0" t="str">
        <f aca="false">IF(F15="","Sin precio","Con precio")</f>
        <v>Con precio</v>
      </c>
    </row>
    <row r="16" customFormat="false" ht="28.35" hidden="false" customHeight="false" outlineLevel="0" collapsed="false">
      <c r="A16" s="0" t="s">
        <v>139</v>
      </c>
      <c r="B16" s="0" t="s">
        <v>34</v>
      </c>
      <c r="C16" s="0" t="s">
        <v>108</v>
      </c>
      <c r="D16" s="5" t="s">
        <v>140</v>
      </c>
      <c r="E16" s="5" t="s">
        <v>141</v>
      </c>
      <c r="F16" s="6"/>
      <c r="G16" s="5"/>
      <c r="H16" s="7"/>
      <c r="I16" s="0" t="str">
        <f aca="false">IF(F16="","Sin precio","Con precio")</f>
        <v>Sin precio</v>
      </c>
    </row>
    <row r="17" customFormat="false" ht="15" hidden="false" customHeight="false" outlineLevel="0" collapsed="false">
      <c r="A17" s="0" t="s">
        <v>142</v>
      </c>
      <c r="B17" s="0" t="s">
        <v>34</v>
      </c>
      <c r="C17" s="0" t="s">
        <v>108</v>
      </c>
      <c r="D17" s="5" t="s">
        <v>143</v>
      </c>
      <c r="E17" s="5" t="s">
        <v>144</v>
      </c>
      <c r="F17" s="6"/>
      <c r="G17" s="5"/>
      <c r="H17" s="7"/>
      <c r="I17" s="0" t="str">
        <f aca="false">IF(F17="","Sin precio","Con precio")</f>
        <v>Sin precio</v>
      </c>
    </row>
    <row r="18" customFormat="false" ht="28.35" hidden="false" customHeight="false" outlineLevel="0" collapsed="false">
      <c r="A18" s="0" t="s">
        <v>145</v>
      </c>
      <c r="B18" s="0" t="s">
        <v>34</v>
      </c>
      <c r="C18" s="0" t="s">
        <v>90</v>
      </c>
      <c r="D18" s="5" t="s">
        <v>146</v>
      </c>
      <c r="E18" s="5" t="s">
        <v>147</v>
      </c>
      <c r="F18" s="6"/>
      <c r="G18" s="5"/>
      <c r="H18" s="7"/>
      <c r="I18" s="0" t="str">
        <f aca="false">IF(F18="","Sin precio","Con precio")</f>
        <v>Sin precio</v>
      </c>
    </row>
    <row r="19" customFormat="false" ht="28.35" hidden="false" customHeight="false" outlineLevel="0" collapsed="false">
      <c r="A19" s="0" t="s">
        <v>148</v>
      </c>
      <c r="B19" s="0" t="s">
        <v>37</v>
      </c>
      <c r="C19" s="0" t="s">
        <v>113</v>
      </c>
      <c r="D19" s="5" t="s">
        <v>149</v>
      </c>
      <c r="E19" s="5" t="s">
        <v>150</v>
      </c>
      <c r="F19" s="8" t="n">
        <v>60</v>
      </c>
      <c r="G19" s="5" t="s">
        <v>151</v>
      </c>
      <c r="H19" s="7"/>
      <c r="I19" s="0" t="str">
        <f aca="false">IF(F19="","Sin precio","Con precio")</f>
        <v>Con precio</v>
      </c>
    </row>
    <row r="20" customFormat="false" ht="28.35" hidden="false" customHeight="false" outlineLevel="0" collapsed="false">
      <c r="A20" s="0" t="s">
        <v>152</v>
      </c>
      <c r="B20" s="0" t="s">
        <v>37</v>
      </c>
      <c r="C20" s="0" t="s">
        <v>113</v>
      </c>
      <c r="D20" s="5" t="s">
        <v>153</v>
      </c>
      <c r="E20" s="5" t="s">
        <v>154</v>
      </c>
      <c r="F20" s="8" t="n">
        <v>40</v>
      </c>
      <c r="G20" s="5" t="s">
        <v>155</v>
      </c>
      <c r="H20" s="7"/>
      <c r="I20" s="0" t="str">
        <f aca="false">IF(F20="","Sin precio","Con precio")</f>
        <v>Con precio</v>
      </c>
    </row>
    <row r="21" customFormat="false" ht="28.35" hidden="false" customHeight="false" outlineLevel="0" collapsed="false">
      <c r="A21" s="0" t="s">
        <v>156</v>
      </c>
      <c r="B21" s="0" t="s">
        <v>37</v>
      </c>
      <c r="C21" s="0" t="s">
        <v>113</v>
      </c>
      <c r="D21" s="5" t="s">
        <v>157</v>
      </c>
      <c r="E21" s="5" t="s">
        <v>158</v>
      </c>
      <c r="F21" s="8" t="n">
        <v>30</v>
      </c>
      <c r="G21" s="5" t="s">
        <v>159</v>
      </c>
      <c r="H21" s="7"/>
      <c r="I21" s="0" t="str">
        <f aca="false">IF(F21="","Sin precio","Con precio")</f>
        <v>Con precio</v>
      </c>
    </row>
    <row r="22" customFormat="false" ht="28.35" hidden="false" customHeight="false" outlineLevel="0" collapsed="false">
      <c r="A22" s="0" t="s">
        <v>160</v>
      </c>
      <c r="B22" s="0" t="s">
        <v>40</v>
      </c>
      <c r="C22" s="0" t="s">
        <v>113</v>
      </c>
      <c r="D22" s="5" t="s">
        <v>161</v>
      </c>
      <c r="E22" s="5" t="s">
        <v>162</v>
      </c>
      <c r="F22" s="8" t="n">
        <v>30</v>
      </c>
      <c r="G22" s="5" t="s">
        <v>163</v>
      </c>
      <c r="H22" s="7"/>
      <c r="I22" s="0" t="str">
        <f aca="false">IF(F22="","Sin precio","Con precio")</f>
        <v>Con precio</v>
      </c>
    </row>
    <row r="23" customFormat="false" ht="15" hidden="false" customHeight="false" outlineLevel="0" collapsed="false">
      <c r="A23" s="0" t="s">
        <v>164</v>
      </c>
      <c r="B23" s="0" t="s">
        <v>40</v>
      </c>
      <c r="C23" s="0" t="s">
        <v>113</v>
      </c>
      <c r="D23" s="5" t="s">
        <v>165</v>
      </c>
      <c r="E23" s="5" t="s">
        <v>166</v>
      </c>
      <c r="F23" s="8" t="n">
        <v>32</v>
      </c>
      <c r="G23" s="5" t="s">
        <v>167</v>
      </c>
      <c r="H23" s="7"/>
      <c r="I23" s="0" t="str">
        <f aca="false">IF(F23="","Sin precio","Con precio")</f>
        <v>Con precio</v>
      </c>
    </row>
    <row r="24" customFormat="false" ht="28.35" hidden="false" customHeight="false" outlineLevel="0" collapsed="false">
      <c r="A24" s="0" t="s">
        <v>168</v>
      </c>
      <c r="B24" s="0" t="s">
        <v>40</v>
      </c>
      <c r="C24" s="0" t="s">
        <v>169</v>
      </c>
      <c r="D24" s="5" t="s">
        <v>170</v>
      </c>
      <c r="E24" s="5" t="s">
        <v>171</v>
      </c>
      <c r="F24" s="8" t="n">
        <v>40</v>
      </c>
      <c r="G24" s="5" t="s">
        <v>172</v>
      </c>
      <c r="H24" s="7"/>
      <c r="I24" s="0" t="str">
        <f aca="false">IF(F24="","Sin precio","Con precio")</f>
        <v>Con precio</v>
      </c>
    </row>
    <row r="25" customFormat="false" ht="28.35" hidden="false" customHeight="false" outlineLevel="0" collapsed="false">
      <c r="A25" s="0" t="s">
        <v>173</v>
      </c>
      <c r="B25" s="0" t="s">
        <v>40</v>
      </c>
      <c r="C25" s="0" t="s">
        <v>169</v>
      </c>
      <c r="D25" s="5" t="s">
        <v>174</v>
      </c>
      <c r="E25" s="5" t="s">
        <v>175</v>
      </c>
      <c r="F25" s="8" t="n">
        <v>20</v>
      </c>
      <c r="G25" s="5" t="s">
        <v>176</v>
      </c>
      <c r="H25" s="7"/>
      <c r="I25" s="0" t="str">
        <f aca="false">IF(F25="","Sin precio","Con precio")</f>
        <v>Con precio</v>
      </c>
    </row>
    <row r="26" customFormat="false" ht="15" hidden="false" customHeight="false" outlineLevel="0" collapsed="false">
      <c r="A26" s="0" t="s">
        <v>177</v>
      </c>
      <c r="B26" s="0" t="s">
        <v>40</v>
      </c>
      <c r="C26" s="0" t="s">
        <v>108</v>
      </c>
      <c r="D26" s="5" t="s">
        <v>178</v>
      </c>
      <c r="E26" s="5" t="s">
        <v>179</v>
      </c>
      <c r="F26" s="6"/>
      <c r="G26" s="5"/>
      <c r="H26" s="7"/>
      <c r="I26" s="0" t="str">
        <f aca="false">IF(F26="","Sin precio","Con precio")</f>
        <v>Sin precio</v>
      </c>
    </row>
    <row r="27" customFormat="false" ht="28.35" hidden="false" customHeight="false" outlineLevel="0" collapsed="false">
      <c r="A27" s="0" t="s">
        <v>180</v>
      </c>
      <c r="B27" s="0" t="s">
        <v>43</v>
      </c>
      <c r="C27" s="0" t="s">
        <v>113</v>
      </c>
      <c r="D27" s="5" t="s">
        <v>181</v>
      </c>
      <c r="E27" s="5" t="s">
        <v>182</v>
      </c>
      <c r="F27" s="6"/>
      <c r="G27" s="5"/>
      <c r="H27" s="7"/>
      <c r="I27" s="0" t="str">
        <f aca="false">IF(F27="","Sin precio","Con precio")</f>
        <v>Sin precio</v>
      </c>
    </row>
    <row r="28" customFormat="false" ht="28.35" hidden="false" customHeight="false" outlineLevel="0" collapsed="false">
      <c r="A28" s="0" t="s">
        <v>183</v>
      </c>
      <c r="B28" s="0" t="s">
        <v>43</v>
      </c>
      <c r="C28" s="0" t="s">
        <v>108</v>
      </c>
      <c r="D28" s="5" t="s">
        <v>184</v>
      </c>
      <c r="E28" s="5" t="s">
        <v>185</v>
      </c>
      <c r="F28" s="8" t="n">
        <v>340</v>
      </c>
      <c r="G28" s="5" t="s">
        <v>186</v>
      </c>
      <c r="H28" s="7"/>
      <c r="I28" s="0" t="str">
        <f aca="false">IF(F28="","Sin precio","Con precio")</f>
        <v>Con precio</v>
      </c>
    </row>
    <row r="29" customFormat="false" ht="15" hidden="false" customHeight="false" outlineLevel="0" collapsed="false">
      <c r="A29" s="0" t="s">
        <v>187</v>
      </c>
      <c r="B29" s="0" t="s">
        <v>43</v>
      </c>
      <c r="C29" s="0" t="s">
        <v>113</v>
      </c>
      <c r="D29" s="5" t="s">
        <v>188</v>
      </c>
      <c r="E29" s="5" t="s">
        <v>189</v>
      </c>
      <c r="F29" s="6"/>
      <c r="G29" s="5"/>
      <c r="H29" s="7"/>
      <c r="I29" s="0" t="str">
        <f aca="false">IF(F29="","Sin precio","Con precio")</f>
        <v>Sin precio</v>
      </c>
    </row>
    <row r="30" customFormat="false" ht="28.35" hidden="false" customHeight="false" outlineLevel="0" collapsed="false">
      <c r="A30" s="0" t="s">
        <v>190</v>
      </c>
      <c r="B30" s="0" t="s">
        <v>46</v>
      </c>
      <c r="C30" s="0" t="s">
        <v>113</v>
      </c>
      <c r="D30" s="5" t="s">
        <v>191</v>
      </c>
      <c r="E30" s="5" t="s">
        <v>192</v>
      </c>
      <c r="F30" s="8" t="n">
        <v>90</v>
      </c>
      <c r="G30" s="5" t="s">
        <v>193</v>
      </c>
      <c r="H30" s="7"/>
      <c r="I30" s="0" t="str">
        <f aca="false">IF(F30="","Sin precio","Con precio")</f>
        <v>Con precio</v>
      </c>
    </row>
    <row r="31" customFormat="false" ht="28.35" hidden="false" customHeight="false" outlineLevel="0" collapsed="false">
      <c r="A31" s="0" t="s">
        <v>194</v>
      </c>
      <c r="B31" s="0" t="s">
        <v>46</v>
      </c>
      <c r="C31" s="0" t="s">
        <v>113</v>
      </c>
      <c r="D31" s="5" t="s">
        <v>195</v>
      </c>
      <c r="E31" s="5" t="s">
        <v>196</v>
      </c>
      <c r="F31" s="6"/>
      <c r="G31" s="5"/>
      <c r="H31" s="7"/>
      <c r="I31" s="0" t="str">
        <f aca="false">IF(F31="","Sin precio","Con precio")</f>
        <v>Sin precio</v>
      </c>
    </row>
    <row r="32" customFormat="false" ht="28.35" hidden="false" customHeight="false" outlineLevel="0" collapsed="false">
      <c r="A32" s="0" t="s">
        <v>197</v>
      </c>
      <c r="B32" s="0" t="s">
        <v>46</v>
      </c>
      <c r="C32" s="0" t="s">
        <v>169</v>
      </c>
      <c r="D32" s="5" t="s">
        <v>198</v>
      </c>
      <c r="E32" s="5" t="s">
        <v>199</v>
      </c>
      <c r="F32" s="8" t="n">
        <v>20</v>
      </c>
      <c r="G32" s="5" t="s">
        <v>200</v>
      </c>
      <c r="H32" s="7"/>
      <c r="I32" s="0" t="str">
        <f aca="false">IF(F32="","Sin precio","Con precio")</f>
        <v>Con precio</v>
      </c>
    </row>
    <row r="33" customFormat="false" ht="15" hidden="false" customHeight="false" outlineLevel="0" collapsed="false">
      <c r="A33" s="0" t="s">
        <v>201</v>
      </c>
      <c r="B33" s="0" t="s">
        <v>46</v>
      </c>
      <c r="C33" s="0" t="s">
        <v>113</v>
      </c>
      <c r="D33" s="5" t="s">
        <v>202</v>
      </c>
      <c r="E33" s="5" t="s">
        <v>203</v>
      </c>
      <c r="F33" s="8" t="n">
        <v>80</v>
      </c>
      <c r="G33" s="5" t="s">
        <v>204</v>
      </c>
      <c r="H33" s="7"/>
      <c r="I33" s="0" t="str">
        <f aca="false">IF(F33="","Sin precio","Con precio")</f>
        <v>Con precio</v>
      </c>
    </row>
    <row r="34" customFormat="false" ht="28.35" hidden="false" customHeight="false" outlineLevel="0" collapsed="false">
      <c r="A34" s="0" t="s">
        <v>205</v>
      </c>
      <c r="B34" s="0" t="s">
        <v>46</v>
      </c>
      <c r="C34" s="0" t="s">
        <v>169</v>
      </c>
      <c r="D34" s="5" t="s">
        <v>206</v>
      </c>
      <c r="E34" s="5" t="s">
        <v>207</v>
      </c>
      <c r="F34" s="8" t="n">
        <v>95</v>
      </c>
      <c r="G34" s="5" t="s">
        <v>208</v>
      </c>
      <c r="H34" s="7"/>
      <c r="I34" s="0" t="str">
        <f aca="false">IF(F34="","Sin precio","Con precio")</f>
        <v>Con precio</v>
      </c>
    </row>
    <row r="35" customFormat="false" ht="28.35" hidden="false" customHeight="false" outlineLevel="0" collapsed="false">
      <c r="A35" s="0" t="s">
        <v>209</v>
      </c>
      <c r="B35" s="0" t="s">
        <v>48</v>
      </c>
      <c r="C35" s="0" t="s">
        <v>113</v>
      </c>
      <c r="D35" s="5" t="s">
        <v>210</v>
      </c>
      <c r="E35" s="5" t="s">
        <v>211</v>
      </c>
      <c r="F35" s="8" t="n">
        <v>30</v>
      </c>
      <c r="G35" s="5" t="s">
        <v>212</v>
      </c>
      <c r="H35" s="7"/>
      <c r="I35" s="0" t="str">
        <f aca="false">IF(F35="","Sin precio","Con precio")</f>
        <v>Con precio</v>
      </c>
    </row>
    <row r="36" customFormat="false" ht="28.35" hidden="false" customHeight="false" outlineLevel="0" collapsed="false">
      <c r="A36" s="0" t="s">
        <v>213</v>
      </c>
      <c r="B36" s="0" t="s">
        <v>48</v>
      </c>
      <c r="C36" s="0" t="s">
        <v>113</v>
      </c>
      <c r="D36" s="5" t="s">
        <v>214</v>
      </c>
      <c r="E36" s="5" t="s">
        <v>215</v>
      </c>
      <c r="F36" s="8" t="n">
        <v>86</v>
      </c>
      <c r="G36" s="5" t="s">
        <v>216</v>
      </c>
      <c r="H36" s="7"/>
      <c r="I36" s="0" t="str">
        <f aca="false">IF(F36="","Sin precio","Con precio")</f>
        <v>Con precio</v>
      </c>
    </row>
    <row r="37" customFormat="false" ht="28.35" hidden="false" customHeight="false" outlineLevel="0" collapsed="false">
      <c r="A37" s="0" t="s">
        <v>217</v>
      </c>
      <c r="B37" s="0" t="s">
        <v>48</v>
      </c>
      <c r="C37" s="0" t="s">
        <v>113</v>
      </c>
      <c r="D37" s="5" t="s">
        <v>218</v>
      </c>
      <c r="E37" s="5" t="s">
        <v>219</v>
      </c>
      <c r="F37" s="8" t="n">
        <v>78</v>
      </c>
      <c r="G37" s="5" t="s">
        <v>220</v>
      </c>
      <c r="H37" s="7"/>
      <c r="I37" s="0" t="str">
        <f aca="false">IF(F37="","Sin precio","Con precio")</f>
        <v>Con precio</v>
      </c>
    </row>
    <row r="38" customFormat="false" ht="28.35" hidden="false" customHeight="false" outlineLevel="0" collapsed="false">
      <c r="A38" s="0" t="s">
        <v>221</v>
      </c>
      <c r="B38" s="0" t="s">
        <v>48</v>
      </c>
      <c r="C38" s="0" t="s">
        <v>113</v>
      </c>
      <c r="D38" s="5" t="s">
        <v>222</v>
      </c>
      <c r="E38" s="5" t="s">
        <v>223</v>
      </c>
      <c r="F38" s="8" t="n">
        <v>120</v>
      </c>
      <c r="G38" s="5" t="s">
        <v>224</v>
      </c>
      <c r="H38" s="7"/>
      <c r="I38" s="0" t="str">
        <f aca="false">IF(F38="","Sin precio","Con precio")</f>
        <v>Con precio</v>
      </c>
    </row>
    <row r="39" customFormat="false" ht="15" hidden="false" customHeight="false" outlineLevel="0" collapsed="false">
      <c r="A39" s="0" t="s">
        <v>225</v>
      </c>
      <c r="B39" s="0" t="s">
        <v>48</v>
      </c>
      <c r="C39" s="0" t="s">
        <v>113</v>
      </c>
      <c r="D39" s="5" t="s">
        <v>226</v>
      </c>
      <c r="E39" s="5" t="s">
        <v>227</v>
      </c>
      <c r="F39" s="8" t="n">
        <v>54</v>
      </c>
      <c r="G39" s="5" t="s">
        <v>228</v>
      </c>
      <c r="H39" s="7"/>
      <c r="I39" s="0" t="str">
        <f aca="false">IF(F39="","Sin precio","Con precio")</f>
        <v>Con precio</v>
      </c>
    </row>
    <row r="40" customFormat="false" ht="28.35" hidden="false" customHeight="false" outlineLevel="0" collapsed="false">
      <c r="A40" s="0" t="s">
        <v>229</v>
      </c>
      <c r="B40" s="0" t="s">
        <v>48</v>
      </c>
      <c r="C40" s="0" t="s">
        <v>169</v>
      </c>
      <c r="D40" s="5" t="s">
        <v>230</v>
      </c>
      <c r="E40" s="5" t="s">
        <v>231</v>
      </c>
      <c r="F40" s="8" t="n">
        <v>18.75</v>
      </c>
      <c r="G40" s="5" t="s">
        <v>232</v>
      </c>
      <c r="H40" s="7"/>
      <c r="I40" s="0" t="str">
        <f aca="false">IF(F40="","Sin precio","Con precio")</f>
        <v>Con precio</v>
      </c>
    </row>
    <row r="41" customFormat="false" ht="41.75" hidden="false" customHeight="false" outlineLevel="0" collapsed="false">
      <c r="A41" s="0" t="s">
        <v>233</v>
      </c>
      <c r="B41" s="0" t="s">
        <v>50</v>
      </c>
      <c r="C41" s="0" t="s">
        <v>108</v>
      </c>
      <c r="D41" s="5" t="s">
        <v>234</v>
      </c>
      <c r="E41" s="5" t="s">
        <v>235</v>
      </c>
      <c r="F41" s="8" t="n">
        <v>1052</v>
      </c>
      <c r="G41" s="5" t="s">
        <v>236</v>
      </c>
      <c r="H41" s="7"/>
      <c r="I41" s="0" t="str">
        <f aca="false">IF(F41="","Sin precio","Con precio")</f>
        <v>Con precio</v>
      </c>
    </row>
    <row r="42" customFormat="false" ht="41.75" hidden="false" customHeight="false" outlineLevel="0" collapsed="false">
      <c r="A42" s="0" t="s">
        <v>237</v>
      </c>
      <c r="B42" s="0" t="s">
        <v>50</v>
      </c>
      <c r="C42" s="0" t="s">
        <v>108</v>
      </c>
      <c r="D42" s="5" t="s">
        <v>238</v>
      </c>
      <c r="E42" s="5" t="s">
        <v>239</v>
      </c>
      <c r="F42" s="8" t="n">
        <v>722</v>
      </c>
      <c r="G42" s="5" t="s">
        <v>240</v>
      </c>
      <c r="H42" s="7"/>
      <c r="I42" s="0" t="str">
        <f aca="false">IF(F42="","Sin precio","Con precio")</f>
        <v>Con precio</v>
      </c>
    </row>
    <row r="43" customFormat="false" ht="28.35" hidden="false" customHeight="false" outlineLevel="0" collapsed="false">
      <c r="A43" s="0" t="s">
        <v>241</v>
      </c>
      <c r="B43" s="0" t="s">
        <v>50</v>
      </c>
      <c r="C43" s="0" t="s">
        <v>108</v>
      </c>
      <c r="D43" s="5" t="s">
        <v>242</v>
      </c>
      <c r="E43" s="5" t="s">
        <v>243</v>
      </c>
      <c r="F43" s="6"/>
      <c r="G43" s="5"/>
      <c r="H43" s="7"/>
      <c r="I43" s="0" t="str">
        <f aca="false">IF(F43="","Sin precio","Con precio")</f>
        <v>Sin precio</v>
      </c>
    </row>
    <row r="44" customFormat="false" ht="28.35" hidden="false" customHeight="false" outlineLevel="0" collapsed="false">
      <c r="A44" s="0" t="s">
        <v>244</v>
      </c>
      <c r="B44" s="0" t="s">
        <v>50</v>
      </c>
      <c r="C44" s="0" t="s">
        <v>108</v>
      </c>
      <c r="D44" s="5" t="s">
        <v>245</v>
      </c>
      <c r="E44" s="5" t="s">
        <v>246</v>
      </c>
      <c r="F44" s="6"/>
      <c r="G44" s="5"/>
      <c r="H44" s="7"/>
      <c r="I44" s="0" t="str">
        <f aca="false">IF(F44="","Sin precio","Con precio")</f>
        <v>Sin precio</v>
      </c>
    </row>
    <row r="45" customFormat="false" ht="28.35" hidden="false" customHeight="false" outlineLevel="0" collapsed="false">
      <c r="A45" s="0" t="s">
        <v>247</v>
      </c>
      <c r="B45" s="0" t="s">
        <v>53</v>
      </c>
      <c r="C45" s="0" t="s">
        <v>108</v>
      </c>
      <c r="D45" s="5" t="s">
        <v>248</v>
      </c>
      <c r="E45" s="5" t="s">
        <v>249</v>
      </c>
      <c r="F45" s="8" t="n">
        <v>495</v>
      </c>
      <c r="G45" s="5" t="s">
        <v>250</v>
      </c>
      <c r="H45" s="7"/>
      <c r="I45" s="0" t="str">
        <f aca="false">IF(F45="","Sin precio","Con precio")</f>
        <v>Con precio</v>
      </c>
    </row>
    <row r="46" customFormat="false" ht="15" hidden="false" customHeight="false" outlineLevel="0" collapsed="false">
      <c r="A46" s="0" t="s">
        <v>251</v>
      </c>
      <c r="B46" s="0" t="s">
        <v>53</v>
      </c>
      <c r="C46" s="0" t="s">
        <v>108</v>
      </c>
      <c r="D46" s="5" t="s">
        <v>252</v>
      </c>
      <c r="E46" s="5" t="s">
        <v>253</v>
      </c>
      <c r="F46" s="8" t="n">
        <v>1160</v>
      </c>
      <c r="G46" s="5" t="s">
        <v>254</v>
      </c>
      <c r="H46" s="7"/>
      <c r="I46" s="0" t="str">
        <f aca="false">IF(F46="","Sin precio","Con precio")</f>
        <v>Con precio</v>
      </c>
    </row>
    <row r="47" customFormat="false" ht="28.35" hidden="false" customHeight="false" outlineLevel="0" collapsed="false">
      <c r="A47" s="0" t="s">
        <v>255</v>
      </c>
      <c r="B47" s="0" t="s">
        <v>53</v>
      </c>
      <c r="C47" s="0" t="s">
        <v>108</v>
      </c>
      <c r="D47" s="5" t="s">
        <v>256</v>
      </c>
      <c r="E47" s="5" t="s">
        <v>257</v>
      </c>
      <c r="F47" s="8" t="n">
        <v>420</v>
      </c>
      <c r="G47" s="5" t="s">
        <v>258</v>
      </c>
      <c r="H47" s="7"/>
      <c r="I47" s="0" t="str">
        <f aca="false">IF(F47="","Sin precio","Con precio")</f>
        <v>Con precio</v>
      </c>
    </row>
    <row r="48" customFormat="false" ht="28.35" hidden="false" customHeight="false" outlineLevel="0" collapsed="false">
      <c r="A48" s="0" t="s">
        <v>259</v>
      </c>
      <c r="B48" s="0" t="s">
        <v>53</v>
      </c>
      <c r="C48" s="0" t="s">
        <v>113</v>
      </c>
      <c r="D48" s="5" t="s">
        <v>260</v>
      </c>
      <c r="E48" s="5" t="s">
        <v>261</v>
      </c>
      <c r="F48" s="8" t="n">
        <v>450</v>
      </c>
      <c r="G48" s="5" t="s">
        <v>262</v>
      </c>
      <c r="H48" s="7"/>
      <c r="I48" s="0" t="str">
        <f aca="false">IF(F48="","Sin precio","Con precio")</f>
        <v>Con precio</v>
      </c>
    </row>
    <row r="49" customFormat="false" ht="28.35" hidden="false" customHeight="false" outlineLevel="0" collapsed="false">
      <c r="A49" s="0" t="s">
        <v>263</v>
      </c>
      <c r="B49" s="0" t="s">
        <v>53</v>
      </c>
      <c r="C49" s="0" t="s">
        <v>113</v>
      </c>
      <c r="D49" s="5" t="s">
        <v>264</v>
      </c>
      <c r="E49" s="5" t="s">
        <v>265</v>
      </c>
      <c r="F49" s="8" t="n">
        <v>450</v>
      </c>
      <c r="G49" s="5" t="s">
        <v>266</v>
      </c>
      <c r="H49" s="7"/>
      <c r="I49" s="0" t="str">
        <f aca="false">IF(F49="","Sin precio","Con precio")</f>
        <v>Con precio</v>
      </c>
    </row>
    <row r="50" customFormat="false" ht="28.35" hidden="false" customHeight="false" outlineLevel="0" collapsed="false">
      <c r="A50" s="0" t="s">
        <v>267</v>
      </c>
      <c r="B50" s="0" t="s">
        <v>53</v>
      </c>
      <c r="C50" s="0" t="s">
        <v>113</v>
      </c>
      <c r="D50" s="5" t="s">
        <v>268</v>
      </c>
      <c r="E50" s="5" t="s">
        <v>269</v>
      </c>
      <c r="F50" s="8" t="n">
        <v>320</v>
      </c>
      <c r="G50" s="5" t="s">
        <v>270</v>
      </c>
      <c r="H50" s="7"/>
      <c r="I50" s="0" t="str">
        <f aca="false">IF(F50="","Sin precio","Con precio")</f>
        <v>Con precio</v>
      </c>
    </row>
    <row r="51" customFormat="false" ht="28.35" hidden="false" customHeight="false" outlineLevel="0" collapsed="false">
      <c r="A51" s="0" t="s">
        <v>271</v>
      </c>
      <c r="B51" s="0" t="s">
        <v>55</v>
      </c>
      <c r="C51" s="0" t="s">
        <v>108</v>
      </c>
      <c r="D51" s="5" t="s">
        <v>272</v>
      </c>
      <c r="E51" s="5" t="s">
        <v>273</v>
      </c>
      <c r="F51" s="8" t="n">
        <v>120</v>
      </c>
      <c r="G51" s="5" t="s">
        <v>274</v>
      </c>
      <c r="H51" s="7"/>
      <c r="I51" s="0" t="str">
        <f aca="false">IF(F51="","Sin precio","Con precio")</f>
        <v>Con precio</v>
      </c>
    </row>
    <row r="52" customFormat="false" ht="28.35" hidden="false" customHeight="false" outlineLevel="0" collapsed="false">
      <c r="A52" s="0" t="s">
        <v>275</v>
      </c>
      <c r="B52" s="0" t="s">
        <v>55</v>
      </c>
      <c r="C52" s="0" t="s">
        <v>108</v>
      </c>
      <c r="D52" s="5" t="s">
        <v>276</v>
      </c>
      <c r="E52" s="5" t="s">
        <v>277</v>
      </c>
      <c r="F52" s="8" t="n">
        <v>60</v>
      </c>
      <c r="G52" s="5" t="s">
        <v>278</v>
      </c>
      <c r="H52" s="7"/>
      <c r="I52" s="0" t="str">
        <f aca="false">IF(F52="","Sin precio","Con precio")</f>
        <v>Con precio</v>
      </c>
    </row>
    <row r="53" customFormat="false" ht="15" hidden="false" customHeight="false" outlineLevel="0" collapsed="false">
      <c r="A53" s="0" t="s">
        <v>279</v>
      </c>
      <c r="B53" s="0" t="s">
        <v>55</v>
      </c>
      <c r="C53" s="0" t="s">
        <v>108</v>
      </c>
      <c r="D53" s="5" t="s">
        <v>280</v>
      </c>
      <c r="E53" s="5" t="s">
        <v>281</v>
      </c>
      <c r="F53" s="8" t="n">
        <v>75</v>
      </c>
      <c r="G53" s="5" t="s">
        <v>282</v>
      </c>
      <c r="H53" s="7"/>
      <c r="I53" s="0" t="str">
        <f aca="false">IF(F53="","Sin precio","Con precio")</f>
        <v>Con precio</v>
      </c>
    </row>
    <row r="54" customFormat="false" ht="15" hidden="false" customHeight="false" outlineLevel="0" collapsed="false">
      <c r="A54" s="0" t="s">
        <v>283</v>
      </c>
      <c r="B54" s="0" t="s">
        <v>55</v>
      </c>
      <c r="C54" s="0" t="s">
        <v>108</v>
      </c>
      <c r="D54" s="5" t="s">
        <v>284</v>
      </c>
      <c r="E54" s="5" t="s">
        <v>285</v>
      </c>
      <c r="F54" s="6"/>
      <c r="G54" s="5"/>
      <c r="H54" s="7"/>
      <c r="I54" s="0" t="str">
        <f aca="false">IF(F54="","Sin precio","Con precio")</f>
        <v>Sin precio</v>
      </c>
    </row>
    <row r="55" customFormat="false" ht="15" hidden="false" customHeight="false" outlineLevel="0" collapsed="false">
      <c r="A55" s="0" t="s">
        <v>286</v>
      </c>
      <c r="B55" s="0" t="s">
        <v>55</v>
      </c>
      <c r="C55" s="0" t="s">
        <v>90</v>
      </c>
      <c r="D55" s="5" t="s">
        <v>287</v>
      </c>
      <c r="E55" s="5" t="s">
        <v>288</v>
      </c>
      <c r="F55" s="6"/>
      <c r="G55" s="5"/>
      <c r="H55" s="7"/>
      <c r="I55" s="0" t="str">
        <f aca="false">IF(F55="","Sin precio","Con precio")</f>
        <v>Sin precio</v>
      </c>
    </row>
    <row r="56" customFormat="false" ht="28.35" hidden="false" customHeight="false" outlineLevel="0" collapsed="false">
      <c r="A56" s="0" t="s">
        <v>289</v>
      </c>
      <c r="B56" s="0" t="s">
        <v>58</v>
      </c>
      <c r="C56" s="0" t="s">
        <v>108</v>
      </c>
      <c r="D56" s="5" t="s">
        <v>290</v>
      </c>
      <c r="E56" s="5" t="s">
        <v>291</v>
      </c>
      <c r="F56" s="8" t="n">
        <v>640</v>
      </c>
      <c r="G56" s="5" t="s">
        <v>292</v>
      </c>
      <c r="H56" s="7"/>
      <c r="I56" s="0" t="str">
        <f aca="false">IF(F56="","Sin precio","Con precio")</f>
        <v>Con precio</v>
      </c>
    </row>
    <row r="57" customFormat="false" ht="28.35" hidden="false" customHeight="false" outlineLevel="0" collapsed="false">
      <c r="A57" s="0" t="s">
        <v>293</v>
      </c>
      <c r="B57" s="0" t="s">
        <v>58</v>
      </c>
      <c r="C57" s="0" t="s">
        <v>108</v>
      </c>
      <c r="D57" s="5" t="s">
        <v>294</v>
      </c>
      <c r="E57" s="5" t="s">
        <v>295</v>
      </c>
      <c r="F57" s="8" t="n">
        <v>850</v>
      </c>
      <c r="G57" s="5" t="s">
        <v>296</v>
      </c>
      <c r="H57" s="7"/>
      <c r="I57" s="0" t="str">
        <f aca="false">IF(F57="","Sin precio","Con precio")</f>
        <v>Con precio</v>
      </c>
    </row>
    <row r="58" customFormat="false" ht="28.35" hidden="false" customHeight="false" outlineLevel="0" collapsed="false">
      <c r="A58" s="0" t="s">
        <v>297</v>
      </c>
      <c r="B58" s="0" t="s">
        <v>58</v>
      </c>
      <c r="C58" s="0" t="s">
        <v>108</v>
      </c>
      <c r="D58" s="5" t="s">
        <v>298</v>
      </c>
      <c r="E58" s="5" t="s">
        <v>299</v>
      </c>
      <c r="F58" s="8" t="n">
        <v>850</v>
      </c>
      <c r="G58" s="5" t="s">
        <v>300</v>
      </c>
      <c r="H58" s="7"/>
      <c r="I58" s="0" t="str">
        <f aca="false">IF(F58="","Sin precio","Con precio")</f>
        <v>Con precio</v>
      </c>
    </row>
    <row r="59" customFormat="false" ht="28.35" hidden="false" customHeight="false" outlineLevel="0" collapsed="false">
      <c r="A59" s="0" t="s">
        <v>301</v>
      </c>
      <c r="B59" s="0" t="s">
        <v>58</v>
      </c>
      <c r="C59" s="0" t="s">
        <v>108</v>
      </c>
      <c r="D59" s="5" t="s">
        <v>302</v>
      </c>
      <c r="E59" s="5" t="s">
        <v>303</v>
      </c>
      <c r="F59" s="8" t="n">
        <v>420</v>
      </c>
      <c r="G59" s="5" t="s">
        <v>304</v>
      </c>
      <c r="H59" s="7"/>
      <c r="I59" s="0" t="str">
        <f aca="false">IF(F59="","Sin precio","Con precio")</f>
        <v>Con precio</v>
      </c>
    </row>
    <row r="60" customFormat="false" ht="15" hidden="false" customHeight="false" outlineLevel="0" collapsed="false">
      <c r="A60" s="0" t="s">
        <v>305</v>
      </c>
      <c r="B60" s="0" t="s">
        <v>58</v>
      </c>
      <c r="C60" s="0" t="s">
        <v>108</v>
      </c>
      <c r="D60" s="5" t="s">
        <v>306</v>
      </c>
      <c r="E60" s="5" t="s">
        <v>307</v>
      </c>
      <c r="F60" s="8" t="n">
        <v>255</v>
      </c>
      <c r="G60" s="5" t="s">
        <v>308</v>
      </c>
      <c r="H60" s="7"/>
      <c r="I60" s="0" t="str">
        <f aca="false">IF(F60="","Sin precio","Con precio")</f>
        <v>Con precio</v>
      </c>
    </row>
    <row r="61" customFormat="false" ht="28.35" hidden="false" customHeight="false" outlineLevel="0" collapsed="false">
      <c r="A61" s="0" t="s">
        <v>309</v>
      </c>
      <c r="B61" s="0" t="s">
        <v>58</v>
      </c>
      <c r="C61" s="0" t="s">
        <v>108</v>
      </c>
      <c r="D61" s="5" t="s">
        <v>310</v>
      </c>
      <c r="E61" s="5" t="s">
        <v>311</v>
      </c>
      <c r="F61" s="8" t="n">
        <v>255</v>
      </c>
      <c r="G61" s="5" t="s">
        <v>312</v>
      </c>
      <c r="H61" s="7"/>
      <c r="I61" s="0" t="str">
        <f aca="false">IF(F61="","Sin precio","Con precio")</f>
        <v>Con precio</v>
      </c>
    </row>
    <row r="62" customFormat="false" ht="28.35" hidden="false" customHeight="false" outlineLevel="0" collapsed="false">
      <c r="A62" s="0" t="s">
        <v>313</v>
      </c>
      <c r="B62" s="0" t="s">
        <v>58</v>
      </c>
      <c r="C62" s="0" t="s">
        <v>108</v>
      </c>
      <c r="D62" s="5" t="s">
        <v>314</v>
      </c>
      <c r="E62" s="5" t="s">
        <v>315</v>
      </c>
      <c r="F62" s="8" t="n">
        <v>420</v>
      </c>
      <c r="G62" s="5" t="s">
        <v>316</v>
      </c>
      <c r="H62" s="7"/>
      <c r="I62" s="0" t="str">
        <f aca="false">IF(F62="","Sin precio","Con precio")</f>
        <v>Con precio</v>
      </c>
    </row>
    <row r="63" customFormat="false" ht="15" hidden="false" customHeight="false" outlineLevel="0" collapsed="false">
      <c r="A63" s="0" t="s">
        <v>317</v>
      </c>
      <c r="B63" s="0" t="s">
        <v>58</v>
      </c>
      <c r="C63" s="0" t="s">
        <v>108</v>
      </c>
      <c r="D63" s="5" t="s">
        <v>318</v>
      </c>
      <c r="E63" s="5" t="s">
        <v>319</v>
      </c>
      <c r="F63" s="8" t="n">
        <v>320</v>
      </c>
      <c r="G63" s="5" t="s">
        <v>320</v>
      </c>
      <c r="H63" s="7"/>
      <c r="I63" s="0" t="str">
        <f aca="false">IF(F63="","Sin precio","Con precio")</f>
        <v>Con precio</v>
      </c>
    </row>
    <row r="64" customFormat="false" ht="15" hidden="false" customHeight="false" outlineLevel="0" collapsed="false">
      <c r="A64" s="0" t="s">
        <v>321</v>
      </c>
      <c r="B64" s="0" t="s">
        <v>58</v>
      </c>
      <c r="C64" s="0" t="s">
        <v>113</v>
      </c>
      <c r="D64" s="5" t="s">
        <v>322</v>
      </c>
      <c r="E64" s="5" t="s">
        <v>323</v>
      </c>
      <c r="F64" s="8" t="n">
        <v>70</v>
      </c>
      <c r="G64" s="5" t="s">
        <v>324</v>
      </c>
      <c r="H64" s="7"/>
      <c r="I64" s="0" t="str">
        <f aca="false">IF(F64="","Sin precio","Con precio")</f>
        <v>Con precio</v>
      </c>
    </row>
    <row r="65" customFormat="false" ht="15" hidden="false" customHeight="false" outlineLevel="0" collapsed="false">
      <c r="A65" s="0" t="s">
        <v>325</v>
      </c>
      <c r="B65" s="0" t="s">
        <v>58</v>
      </c>
      <c r="C65" s="0" t="s">
        <v>108</v>
      </c>
      <c r="D65" s="5" t="s">
        <v>326</v>
      </c>
      <c r="E65" s="5" t="s">
        <v>327</v>
      </c>
      <c r="F65" s="8" t="n">
        <v>250</v>
      </c>
      <c r="G65" s="5" t="s">
        <v>328</v>
      </c>
      <c r="H65" s="7"/>
      <c r="I65" s="0" t="str">
        <f aca="false">IF(F65="","Sin precio","Con precio")</f>
        <v>Con precio</v>
      </c>
    </row>
    <row r="66" customFormat="false" ht="15" hidden="false" customHeight="false" outlineLevel="0" collapsed="false">
      <c r="A66" s="0" t="s">
        <v>329</v>
      </c>
      <c r="B66" s="0" t="s">
        <v>58</v>
      </c>
      <c r="C66" s="0" t="s">
        <v>108</v>
      </c>
      <c r="D66" s="5" t="s">
        <v>330</v>
      </c>
      <c r="E66" s="5" t="s">
        <v>331</v>
      </c>
      <c r="F66" s="6"/>
      <c r="G66" s="5" t="s">
        <v>332</v>
      </c>
      <c r="H66" s="7"/>
      <c r="I66" s="0" t="str">
        <f aca="false">IF(F66="","Sin precio","Con precio")</f>
        <v>Sin precio</v>
      </c>
    </row>
    <row r="67" customFormat="false" ht="28.35" hidden="false" customHeight="false" outlineLevel="0" collapsed="false">
      <c r="A67" s="0" t="s">
        <v>333</v>
      </c>
      <c r="B67" s="0" t="s">
        <v>58</v>
      </c>
      <c r="C67" s="0" t="s">
        <v>108</v>
      </c>
      <c r="D67" s="5" t="s">
        <v>334</v>
      </c>
      <c r="E67" s="5" t="s">
        <v>335</v>
      </c>
      <c r="F67" s="6"/>
      <c r="G67" s="5"/>
      <c r="H67" s="7"/>
      <c r="I67" s="0" t="str">
        <f aca="false">IF(F67="","Sin precio","Con precio")</f>
        <v>Sin precio</v>
      </c>
    </row>
    <row r="68" customFormat="false" ht="28.35" hidden="false" customHeight="false" outlineLevel="0" collapsed="false">
      <c r="A68" s="0" t="s">
        <v>336</v>
      </c>
      <c r="B68" s="0" t="s">
        <v>60</v>
      </c>
      <c r="C68" s="0" t="s">
        <v>169</v>
      </c>
      <c r="D68" s="5" t="s">
        <v>337</v>
      </c>
      <c r="E68" s="5" t="s">
        <v>338</v>
      </c>
      <c r="F68" s="6"/>
      <c r="G68" s="5" t="s">
        <v>339</v>
      </c>
      <c r="H68" s="7"/>
      <c r="I68" s="0" t="str">
        <f aca="false">IF(F68="","Sin precio","Con precio")</f>
        <v>Sin precio</v>
      </c>
    </row>
    <row r="69" customFormat="false" ht="28.35" hidden="false" customHeight="false" outlineLevel="0" collapsed="false">
      <c r="A69" s="0" t="s">
        <v>340</v>
      </c>
      <c r="B69" s="0" t="s">
        <v>60</v>
      </c>
      <c r="C69" s="0" t="s">
        <v>90</v>
      </c>
      <c r="D69" s="5" t="s">
        <v>341</v>
      </c>
      <c r="E69" s="5" t="s">
        <v>342</v>
      </c>
      <c r="F69" s="6"/>
      <c r="G69" s="5"/>
      <c r="H69" s="7"/>
      <c r="I69" s="0" t="str">
        <f aca="false">IF(F69="","Sin precio","Con precio")</f>
        <v>Sin precio</v>
      </c>
    </row>
    <row r="70" customFormat="false" ht="28.35" hidden="false" customHeight="false" outlineLevel="0" collapsed="false">
      <c r="A70" s="0" t="s">
        <v>343</v>
      </c>
      <c r="B70" s="0" t="s">
        <v>60</v>
      </c>
      <c r="C70" s="0" t="s">
        <v>90</v>
      </c>
      <c r="D70" s="5" t="s">
        <v>344</v>
      </c>
      <c r="E70" s="5" t="s">
        <v>345</v>
      </c>
      <c r="F70" s="6"/>
      <c r="G70" s="5"/>
      <c r="H70" s="7"/>
      <c r="I70" s="0" t="str">
        <f aca="false">IF(F70="","Sin precio","Con precio")</f>
        <v>Sin precio</v>
      </c>
    </row>
    <row r="71" customFormat="false" ht="28.35" hidden="false" customHeight="false" outlineLevel="0" collapsed="false">
      <c r="A71" s="0" t="s">
        <v>346</v>
      </c>
      <c r="B71" s="0" t="s">
        <v>63</v>
      </c>
      <c r="C71" s="0" t="s">
        <v>90</v>
      </c>
      <c r="D71" s="5" t="s">
        <v>347</v>
      </c>
      <c r="E71" s="5" t="s">
        <v>348</v>
      </c>
      <c r="F71" s="8" t="n">
        <v>2850</v>
      </c>
      <c r="G71" s="5" t="s">
        <v>349</v>
      </c>
      <c r="H71" s="7"/>
      <c r="I71" s="0" t="str">
        <f aca="false">IF(F71="","Sin precio","Con precio")</f>
        <v>Con precio</v>
      </c>
    </row>
    <row r="72" customFormat="false" ht="15" hidden="false" customHeight="false" outlineLevel="0" collapsed="false">
      <c r="A72" s="0" t="s">
        <v>350</v>
      </c>
      <c r="B72" s="0" t="s">
        <v>63</v>
      </c>
      <c r="C72" s="0" t="s">
        <v>108</v>
      </c>
      <c r="D72" s="5" t="s">
        <v>351</v>
      </c>
      <c r="E72" s="5" t="s">
        <v>352</v>
      </c>
      <c r="F72" s="8" t="n">
        <v>50</v>
      </c>
      <c r="G72" s="5" t="s">
        <v>353</v>
      </c>
      <c r="H72" s="7"/>
      <c r="I72" s="0" t="str">
        <f aca="false">IF(F72="","Sin precio","Con precio")</f>
        <v>Con precio</v>
      </c>
    </row>
    <row r="73" customFormat="false" ht="15" hidden="false" customHeight="false" outlineLevel="0" collapsed="false">
      <c r="A73" s="0" t="s">
        <v>354</v>
      </c>
      <c r="B73" s="0" t="s">
        <v>63</v>
      </c>
      <c r="C73" s="0" t="s">
        <v>108</v>
      </c>
      <c r="D73" s="5" t="s">
        <v>355</v>
      </c>
      <c r="E73" s="5" t="s">
        <v>356</v>
      </c>
      <c r="F73" s="8" t="n">
        <v>10</v>
      </c>
      <c r="G73" s="5" t="s">
        <v>357</v>
      </c>
      <c r="H73" s="7"/>
      <c r="I73" s="0" t="str">
        <f aca="false">IF(F73="","Sin precio","Con precio")</f>
        <v>Con precio</v>
      </c>
    </row>
    <row r="74" customFormat="false" ht="15" hidden="false" customHeight="false" outlineLevel="0" collapsed="false">
      <c r="A74" s="0" t="s">
        <v>358</v>
      </c>
      <c r="B74" s="0" t="s">
        <v>63</v>
      </c>
      <c r="C74" s="0" t="s">
        <v>108</v>
      </c>
      <c r="D74" s="5" t="s">
        <v>359</v>
      </c>
      <c r="E74" s="5" t="s">
        <v>360</v>
      </c>
      <c r="F74" s="8" t="n">
        <v>85</v>
      </c>
      <c r="G74" s="5" t="s">
        <v>361</v>
      </c>
      <c r="H74" s="7"/>
      <c r="I74" s="0" t="str">
        <f aca="false">IF(F74="","Sin precio","Con precio")</f>
        <v>Con precio</v>
      </c>
    </row>
    <row r="75" customFormat="false" ht="15" hidden="false" customHeight="false" outlineLevel="0" collapsed="false">
      <c r="A75" s="0" t="s">
        <v>362</v>
      </c>
      <c r="B75" s="0" t="s">
        <v>63</v>
      </c>
      <c r="C75" s="0" t="s">
        <v>108</v>
      </c>
      <c r="D75" s="5" t="s">
        <v>363</v>
      </c>
      <c r="E75" s="5" t="s">
        <v>364</v>
      </c>
      <c r="F75" s="8" t="n">
        <v>120</v>
      </c>
      <c r="G75" s="5" t="s">
        <v>365</v>
      </c>
      <c r="H75" s="7"/>
      <c r="I75" s="0" t="str">
        <f aca="false">IF(F75="","Sin precio","Con precio")</f>
        <v>Con precio</v>
      </c>
    </row>
    <row r="76" customFormat="false" ht="15" hidden="false" customHeight="false" outlineLevel="0" collapsed="false">
      <c r="A76" s="0" t="s">
        <v>366</v>
      </c>
      <c r="B76" s="0" t="s">
        <v>63</v>
      </c>
      <c r="C76" s="0" t="s">
        <v>108</v>
      </c>
      <c r="D76" s="5" t="s">
        <v>367</v>
      </c>
      <c r="E76" s="5" t="s">
        <v>368</v>
      </c>
      <c r="F76" s="8" t="n">
        <v>45</v>
      </c>
      <c r="G76" s="5" t="s">
        <v>369</v>
      </c>
      <c r="H76" s="7"/>
      <c r="I76" s="0" t="str">
        <f aca="false">IF(F76="","Sin precio","Con precio")</f>
        <v>Con precio</v>
      </c>
    </row>
    <row r="77" customFormat="false" ht="15" hidden="false" customHeight="false" outlineLevel="0" collapsed="false">
      <c r="A77" s="0" t="s">
        <v>370</v>
      </c>
      <c r="B77" s="0" t="s">
        <v>63</v>
      </c>
      <c r="C77" s="0" t="s">
        <v>108</v>
      </c>
      <c r="D77" s="5" t="s">
        <v>371</v>
      </c>
      <c r="E77" s="5" t="s">
        <v>372</v>
      </c>
      <c r="F77" s="8" t="n">
        <v>90</v>
      </c>
      <c r="G77" s="5" t="s">
        <v>373</v>
      </c>
      <c r="H77" s="7"/>
      <c r="I77" s="0" t="str">
        <f aca="false">IF(F77="","Sin precio","Con precio")</f>
        <v>Con precio</v>
      </c>
    </row>
    <row r="78" customFormat="false" ht="15" hidden="false" customHeight="false" outlineLevel="0" collapsed="false">
      <c r="A78" s="0" t="s">
        <v>374</v>
      </c>
      <c r="B78" s="0" t="s">
        <v>63</v>
      </c>
      <c r="C78" s="0" t="s">
        <v>108</v>
      </c>
      <c r="D78" s="5" t="s">
        <v>375</v>
      </c>
      <c r="E78" s="5" t="s">
        <v>376</v>
      </c>
      <c r="F78" s="8" t="n">
        <v>45</v>
      </c>
      <c r="G78" s="5" t="s">
        <v>377</v>
      </c>
      <c r="H78" s="7"/>
      <c r="I78" s="0" t="str">
        <f aca="false">IF(F78="","Sin precio","Con precio")</f>
        <v>Con precio</v>
      </c>
    </row>
    <row r="79" customFormat="false" ht="15" hidden="false" customHeight="false" outlineLevel="0" collapsed="false">
      <c r="A79" s="0" t="s">
        <v>378</v>
      </c>
      <c r="B79" s="0" t="s">
        <v>63</v>
      </c>
      <c r="C79" s="0" t="s">
        <v>108</v>
      </c>
      <c r="D79" s="5" t="s">
        <v>379</v>
      </c>
      <c r="E79" s="5" t="s">
        <v>380</v>
      </c>
      <c r="F79" s="8" t="n">
        <v>45</v>
      </c>
      <c r="G79" s="5" t="s">
        <v>381</v>
      </c>
      <c r="H79" s="7"/>
      <c r="I79" s="0" t="str">
        <f aca="false">IF(F79="","Sin precio","Con precio")</f>
        <v>Con precio</v>
      </c>
    </row>
    <row r="80" customFormat="false" ht="15" hidden="false" customHeight="false" outlineLevel="0" collapsed="false">
      <c r="A80" s="0" t="s">
        <v>382</v>
      </c>
      <c r="B80" s="0" t="s">
        <v>63</v>
      </c>
      <c r="C80" s="0" t="s">
        <v>108</v>
      </c>
      <c r="D80" s="5" t="s">
        <v>383</v>
      </c>
      <c r="E80" s="5" t="s">
        <v>384</v>
      </c>
      <c r="F80" s="8" t="n">
        <v>45</v>
      </c>
      <c r="G80" s="5" t="s">
        <v>385</v>
      </c>
      <c r="H80" s="7"/>
      <c r="I80" s="0" t="str">
        <f aca="false">IF(F80="","Sin precio","Con precio")</f>
        <v>Con precio</v>
      </c>
    </row>
    <row r="81" customFormat="false" ht="15" hidden="false" customHeight="false" outlineLevel="0" collapsed="false">
      <c r="A81" s="0" t="s">
        <v>386</v>
      </c>
      <c r="B81" s="0" t="s">
        <v>63</v>
      </c>
      <c r="C81" s="0" t="s">
        <v>108</v>
      </c>
      <c r="D81" s="5" t="s">
        <v>387</v>
      </c>
      <c r="E81" s="5" t="s">
        <v>388</v>
      </c>
      <c r="F81" s="8" t="n">
        <v>65</v>
      </c>
      <c r="G81" s="5" t="s">
        <v>389</v>
      </c>
      <c r="H81" s="7"/>
      <c r="I81" s="0" t="str">
        <f aca="false">IF(F81="","Sin precio","Con precio")</f>
        <v>Con precio</v>
      </c>
    </row>
    <row r="82" customFormat="false" ht="28.35" hidden="false" customHeight="false" outlineLevel="0" collapsed="false">
      <c r="A82" s="0" t="s">
        <v>390</v>
      </c>
      <c r="B82" s="0" t="s">
        <v>63</v>
      </c>
      <c r="C82" s="0" t="s">
        <v>108</v>
      </c>
      <c r="D82" s="5" t="s">
        <v>391</v>
      </c>
      <c r="E82" s="5" t="s">
        <v>392</v>
      </c>
      <c r="F82" s="6"/>
      <c r="G82" s="5"/>
      <c r="H82" s="7"/>
      <c r="I82" s="0" t="str">
        <f aca="false">IF(F82="","Sin precio","Con precio")</f>
        <v>Sin precio</v>
      </c>
    </row>
    <row r="83" customFormat="false" ht="15" hidden="false" customHeight="false" outlineLevel="0" collapsed="false">
      <c r="A83" s="0" t="s">
        <v>393</v>
      </c>
      <c r="B83" s="0" t="s">
        <v>63</v>
      </c>
      <c r="C83" s="0" t="s">
        <v>108</v>
      </c>
      <c r="D83" s="5" t="s">
        <v>394</v>
      </c>
      <c r="E83" s="5" t="s">
        <v>395</v>
      </c>
      <c r="F83" s="6"/>
      <c r="G83" s="5"/>
      <c r="H83" s="7"/>
      <c r="I83" s="0" t="str">
        <f aca="false">IF(F83="","Sin precio","Con precio")</f>
        <v>Sin precio</v>
      </c>
    </row>
    <row r="84" customFormat="false" ht="15" hidden="false" customHeight="false" outlineLevel="0" collapsed="false">
      <c r="A84" s="0" t="s">
        <v>396</v>
      </c>
      <c r="B84" s="0" t="s">
        <v>65</v>
      </c>
      <c r="C84" s="0" t="s">
        <v>108</v>
      </c>
      <c r="D84" s="5" t="s">
        <v>397</v>
      </c>
      <c r="E84" s="5" t="s">
        <v>398</v>
      </c>
      <c r="F84" s="6"/>
      <c r="G84" s="5" t="s">
        <v>399</v>
      </c>
      <c r="H84" s="7"/>
      <c r="I84" s="0" t="str">
        <f aca="false">IF(F84="","Sin precio","Con precio")</f>
        <v>Sin precio</v>
      </c>
    </row>
    <row r="85" customFormat="false" ht="28.35" hidden="false" customHeight="false" outlineLevel="0" collapsed="false">
      <c r="A85" s="0" t="s">
        <v>400</v>
      </c>
      <c r="B85" s="0" t="s">
        <v>65</v>
      </c>
      <c r="C85" s="0" t="s">
        <v>108</v>
      </c>
      <c r="D85" s="5" t="s">
        <v>401</v>
      </c>
      <c r="E85" s="5" t="s">
        <v>402</v>
      </c>
      <c r="F85" s="8" t="n">
        <v>42</v>
      </c>
      <c r="G85" s="5" t="s">
        <v>403</v>
      </c>
      <c r="H85" s="7"/>
      <c r="I85" s="0" t="str">
        <f aca="false">IF(F85="","Sin precio","Con precio")</f>
        <v>Con precio</v>
      </c>
    </row>
    <row r="86" customFormat="false" ht="15" hidden="false" customHeight="false" outlineLevel="0" collapsed="false">
      <c r="A86" s="0" t="s">
        <v>404</v>
      </c>
      <c r="B86" s="0" t="s">
        <v>65</v>
      </c>
      <c r="C86" s="0" t="s">
        <v>169</v>
      </c>
      <c r="D86" s="5" t="s">
        <v>405</v>
      </c>
      <c r="E86" s="5" t="s">
        <v>406</v>
      </c>
      <c r="F86" s="8" t="n">
        <v>35</v>
      </c>
      <c r="G86" s="5" t="s">
        <v>407</v>
      </c>
      <c r="H86" s="7"/>
      <c r="I86" s="0" t="str">
        <f aca="false">IF(F86="","Sin precio","Con precio")</f>
        <v>Con precio</v>
      </c>
    </row>
    <row r="87" customFormat="false" ht="15" hidden="false" customHeight="false" outlineLevel="0" collapsed="false">
      <c r="A87" s="0" t="s">
        <v>408</v>
      </c>
      <c r="B87" s="0" t="s">
        <v>65</v>
      </c>
      <c r="C87" s="0" t="s">
        <v>108</v>
      </c>
      <c r="D87" s="5" t="s">
        <v>409</v>
      </c>
      <c r="E87" s="5" t="s">
        <v>410</v>
      </c>
      <c r="F87" s="8" t="n">
        <v>50</v>
      </c>
      <c r="G87" s="5" t="s">
        <v>411</v>
      </c>
      <c r="H87" s="7"/>
      <c r="I87" s="0" t="str">
        <f aca="false">IF(F87="","Sin precio","Con precio")</f>
        <v>Con precio</v>
      </c>
    </row>
    <row r="88" customFormat="false" ht="28.35" hidden="false" customHeight="false" outlineLevel="0" collapsed="false">
      <c r="A88" s="0" t="s">
        <v>412</v>
      </c>
      <c r="B88" s="0" t="s">
        <v>67</v>
      </c>
      <c r="C88" s="0" t="s">
        <v>90</v>
      </c>
      <c r="D88" s="5" t="s">
        <v>413</v>
      </c>
      <c r="E88" s="5" t="s">
        <v>414</v>
      </c>
      <c r="F88" s="8" t="n">
        <v>4200</v>
      </c>
      <c r="G88" s="5" t="s">
        <v>415</v>
      </c>
      <c r="H88" s="7"/>
      <c r="I88" s="0" t="str">
        <f aca="false">IF(F88="","Sin precio","Con precio")</f>
        <v>Con precio</v>
      </c>
    </row>
    <row r="89" customFormat="false" ht="28.35" hidden="false" customHeight="false" outlineLevel="0" collapsed="false">
      <c r="A89" s="0" t="s">
        <v>416</v>
      </c>
      <c r="B89" s="0" t="s">
        <v>67</v>
      </c>
      <c r="C89" s="0" t="s">
        <v>108</v>
      </c>
      <c r="D89" s="5" t="s">
        <v>417</v>
      </c>
      <c r="E89" s="5" t="s">
        <v>418</v>
      </c>
      <c r="F89" s="8" t="n">
        <v>3400</v>
      </c>
      <c r="G89" s="5" t="s">
        <v>419</v>
      </c>
      <c r="H89" s="7"/>
      <c r="I89" s="0" t="str">
        <f aca="false">IF(F89="","Sin precio","Con precio")</f>
        <v>Con precio</v>
      </c>
    </row>
    <row r="90" customFormat="false" ht="28.35" hidden="false" customHeight="false" outlineLevel="0" collapsed="false">
      <c r="A90" s="0" t="s">
        <v>420</v>
      </c>
      <c r="B90" s="0" t="s">
        <v>67</v>
      </c>
      <c r="C90" s="0" t="s">
        <v>108</v>
      </c>
      <c r="D90" s="5" t="s">
        <v>421</v>
      </c>
      <c r="E90" s="5" t="s">
        <v>422</v>
      </c>
      <c r="F90" s="8" t="n">
        <v>115</v>
      </c>
      <c r="G90" s="5" t="s">
        <v>423</v>
      </c>
      <c r="H90" s="7"/>
      <c r="I90" s="0" t="str">
        <f aca="false">IF(F90="","Sin precio","Con precio")</f>
        <v>Con precio</v>
      </c>
    </row>
    <row r="91" customFormat="false" ht="28.35" hidden="false" customHeight="false" outlineLevel="0" collapsed="false">
      <c r="A91" s="0" t="s">
        <v>424</v>
      </c>
      <c r="B91" s="0" t="s">
        <v>67</v>
      </c>
      <c r="C91" s="0" t="s">
        <v>108</v>
      </c>
      <c r="D91" s="5" t="s">
        <v>425</v>
      </c>
      <c r="E91" s="5" t="s">
        <v>426</v>
      </c>
      <c r="F91" s="6"/>
      <c r="G91" s="5"/>
      <c r="H91" s="7"/>
      <c r="I91" s="0" t="str">
        <f aca="false">IF(F91="","Sin precio","Con precio")</f>
        <v>Sin precio</v>
      </c>
    </row>
    <row r="92" customFormat="false" ht="28.35" hidden="false" customHeight="false" outlineLevel="0" collapsed="false">
      <c r="A92" s="0" t="s">
        <v>427</v>
      </c>
      <c r="B92" s="0" t="s">
        <v>69</v>
      </c>
      <c r="C92" s="0" t="s">
        <v>113</v>
      </c>
      <c r="D92" s="5" t="s">
        <v>428</v>
      </c>
      <c r="E92" s="5" t="s">
        <v>429</v>
      </c>
      <c r="F92" s="8" t="n">
        <v>9</v>
      </c>
      <c r="G92" s="5" t="s">
        <v>430</v>
      </c>
      <c r="H92" s="7"/>
      <c r="I92" s="0" t="str">
        <f aca="false">IF(F92="","Sin precio","Con precio")</f>
        <v>Con precio</v>
      </c>
    </row>
    <row r="93" customFormat="false" ht="28.35" hidden="false" customHeight="false" outlineLevel="0" collapsed="false">
      <c r="A93" s="0" t="s">
        <v>431</v>
      </c>
      <c r="B93" s="0" t="s">
        <v>69</v>
      </c>
      <c r="C93" s="0" t="s">
        <v>113</v>
      </c>
      <c r="D93" s="5" t="s">
        <v>432</v>
      </c>
      <c r="E93" s="5" t="s">
        <v>433</v>
      </c>
      <c r="F93" s="8" t="n">
        <v>9</v>
      </c>
      <c r="G93" s="5" t="s">
        <v>434</v>
      </c>
      <c r="H93" s="7"/>
      <c r="I93" s="0" t="str">
        <f aca="false">IF(F93="","Sin precio","Con precio")</f>
        <v>Con precio</v>
      </c>
    </row>
    <row r="94" customFormat="false" ht="15" hidden="false" customHeight="false" outlineLevel="0" collapsed="false">
      <c r="A94" s="0" t="s">
        <v>435</v>
      </c>
      <c r="B94" s="0" t="s">
        <v>69</v>
      </c>
      <c r="C94" s="0" t="s">
        <v>108</v>
      </c>
      <c r="D94" s="5" t="s">
        <v>436</v>
      </c>
      <c r="E94" s="5" t="s">
        <v>437</v>
      </c>
      <c r="F94" s="6"/>
      <c r="G94" s="5"/>
      <c r="H94" s="7"/>
      <c r="I94" s="0" t="str">
        <f aca="false">IF(F94="","Sin precio","Con precio")</f>
        <v>Sin precio</v>
      </c>
    </row>
    <row r="95" customFormat="false" ht="28.35" hidden="false" customHeight="false" outlineLevel="0" collapsed="false">
      <c r="A95" s="0" t="s">
        <v>438</v>
      </c>
      <c r="B95" s="0" t="s">
        <v>71</v>
      </c>
      <c r="C95" s="0" t="s">
        <v>90</v>
      </c>
      <c r="D95" s="5" t="s">
        <v>439</v>
      </c>
      <c r="E95" s="5" t="s">
        <v>440</v>
      </c>
      <c r="F95" s="8" t="n">
        <v>2000</v>
      </c>
      <c r="G95" s="5" t="s">
        <v>441</v>
      </c>
      <c r="H95" s="7"/>
      <c r="I95" s="0" t="str">
        <f aca="false">IF(F95="","Sin precio","Con precio")</f>
        <v>Con precio</v>
      </c>
    </row>
    <row r="96" customFormat="false" ht="15" hidden="false" customHeight="false" outlineLevel="0" collapsed="false">
      <c r="A96" s="0" t="s">
        <v>442</v>
      </c>
      <c r="B96" s="0" t="s">
        <v>74</v>
      </c>
      <c r="C96" s="0" t="s">
        <v>108</v>
      </c>
      <c r="D96" s="5" t="s">
        <v>443</v>
      </c>
      <c r="E96" s="5" t="s">
        <v>444</v>
      </c>
      <c r="F96" s="8" t="n">
        <v>254</v>
      </c>
      <c r="G96" s="5" t="s">
        <v>445</v>
      </c>
      <c r="H96" s="7"/>
      <c r="I96" s="0" t="str">
        <f aca="false">IF(F96="","Sin precio","Con precio")</f>
        <v>Con precio</v>
      </c>
    </row>
    <row r="97" customFormat="false" ht="15" hidden="false" customHeight="false" outlineLevel="0" collapsed="false">
      <c r="A97" s="0" t="s">
        <v>446</v>
      </c>
      <c r="B97" s="0" t="s">
        <v>74</v>
      </c>
      <c r="C97" s="0" t="s">
        <v>90</v>
      </c>
      <c r="D97" s="5" t="s">
        <v>447</v>
      </c>
      <c r="E97" s="5" t="s">
        <v>448</v>
      </c>
      <c r="F97" s="6"/>
      <c r="G97" s="5"/>
      <c r="H97" s="7"/>
      <c r="I97" s="0" t="str">
        <f aca="false">IF(F97="","Sin precio","Con precio")</f>
        <v>Sin precio</v>
      </c>
    </row>
    <row r="98" customFormat="false" ht="15" hidden="false" customHeight="false" outlineLevel="0" collapsed="false">
      <c r="A98" s="0" t="s">
        <v>449</v>
      </c>
      <c r="B98" s="0" t="s">
        <v>77</v>
      </c>
      <c r="C98" s="0" t="s">
        <v>90</v>
      </c>
      <c r="D98" s="5" t="s">
        <v>78</v>
      </c>
      <c r="E98" s="5" t="s">
        <v>450</v>
      </c>
      <c r="F98" s="6"/>
      <c r="G98" s="5"/>
      <c r="H98" s="7"/>
      <c r="I98" s="0" t="str">
        <f aca="false">IF(F98="","Sin precio","Con precio")</f>
        <v>Sin precio</v>
      </c>
    </row>
    <row r="99" customFormat="false" ht="28.35" hidden="false" customHeight="false" outlineLevel="0" collapsed="false">
      <c r="A99" s="0" t="s">
        <v>451</v>
      </c>
      <c r="B99" s="0" t="s">
        <v>80</v>
      </c>
      <c r="C99" s="0" t="s">
        <v>90</v>
      </c>
      <c r="D99" s="5" t="s">
        <v>452</v>
      </c>
      <c r="E99" s="5" t="s">
        <v>453</v>
      </c>
      <c r="F99" s="8" t="n">
        <v>650</v>
      </c>
      <c r="G99" s="5" t="s">
        <v>454</v>
      </c>
      <c r="H99" s="7"/>
      <c r="I99" s="0" t="str">
        <f aca="false">IF(F99="","Sin precio","Con precio")</f>
        <v>Con precio</v>
      </c>
    </row>
  </sheetData>
  <autoFilter ref="A1:I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46"/>
    <col collapsed="false" customWidth="true" hidden="false" outlineLevel="0" max="6" min="6" style="0" width="6"/>
    <col collapsed="false" customWidth="true" hidden="false" outlineLevel="0" max="8" min="7" style="0" width="9"/>
    <col collapsed="false" customWidth="true" hidden="false" outlineLevel="0" max="9" min="9" style="0" width="44"/>
  </cols>
  <sheetData>
    <row r="1" customFormat="false" ht="15" hidden="false" customHeight="false" outlineLevel="0" collapsed="false">
      <c r="A1" s="4" t="s">
        <v>455</v>
      </c>
      <c r="B1" s="4" t="s">
        <v>456</v>
      </c>
      <c r="C1" s="4" t="s">
        <v>457</v>
      </c>
      <c r="D1" s="4" t="s">
        <v>458</v>
      </c>
      <c r="E1" s="4" t="s">
        <v>83</v>
      </c>
      <c r="F1" s="4" t="s">
        <v>82</v>
      </c>
      <c r="G1" s="4" t="s">
        <v>459</v>
      </c>
      <c r="H1" s="4" t="s">
        <v>460</v>
      </c>
      <c r="I1" s="4" t="s">
        <v>461</v>
      </c>
    </row>
    <row r="3" customFormat="false" ht="15" hidden="false" customHeight="false" outlineLevel="0" collapsed="false">
      <c r="A3" s="0" t="s">
        <v>462</v>
      </c>
      <c r="B3" s="0" t="s">
        <v>463</v>
      </c>
      <c r="C3" s="0" t="s">
        <v>464</v>
      </c>
      <c r="D3" s="0" t="s">
        <v>89</v>
      </c>
      <c r="E3" s="9" t="str">
        <f aca="false">INDEX(Partidas!$D$2:$D$99,MATCH(D3,Partidas!$A$2:$A$99,0))</f>
        <v>Protección de zonas comunes y elementos que se conservan</v>
      </c>
      <c r="F3" s="9" t="str">
        <f aca="false">INDEX(Partidas!$C$2:$C$99,MATCH(D3,Partidas!$A$2:$A$99,0))</f>
        <v>pa</v>
      </c>
      <c r="G3" s="10" t="n">
        <v>0</v>
      </c>
      <c r="H3" s="10" t="n">
        <v>1</v>
      </c>
    </row>
    <row r="4" customFormat="false" ht="15" hidden="false" customHeight="false" outlineLevel="0" collapsed="false">
      <c r="A4" s="0" t="s">
        <v>462</v>
      </c>
      <c r="B4" s="0" t="s">
        <v>463</v>
      </c>
      <c r="C4" s="0" t="s">
        <v>464</v>
      </c>
      <c r="D4" s="0" t="s">
        <v>94</v>
      </c>
      <c r="E4" s="9" t="str">
        <f aca="false">INDEX(Partidas!$D$2:$D$99,MATCH(D4,Partidas!$A$2:$A$99,0))</f>
        <v>Comunicación a la comunidad y gestión de ascensor/montacargas</v>
      </c>
      <c r="F4" s="9" t="str">
        <f aca="false">INDEX(Partidas!$C$2:$C$99,MATCH(D4,Partidas!$A$2:$A$99,0))</f>
        <v>pa</v>
      </c>
      <c r="G4" s="10" t="n">
        <v>0</v>
      </c>
      <c r="H4" s="10" t="n">
        <v>1</v>
      </c>
    </row>
    <row r="5" customFormat="false" ht="15" hidden="false" customHeight="false" outlineLevel="0" collapsed="false">
      <c r="A5" s="0" t="s">
        <v>462</v>
      </c>
      <c r="B5" s="0" t="s">
        <v>463</v>
      </c>
      <c r="C5" s="0" t="s">
        <v>464</v>
      </c>
      <c r="D5" s="0" t="s">
        <v>100</v>
      </c>
      <c r="E5" s="9" t="str">
        <f aca="false">INDEX(Partidas!$D$2:$D$99,MATCH(D5,Partidas!$A$2:$A$99,0))</f>
        <v>Gestión de licencia o declaración responsable</v>
      </c>
      <c r="F5" s="9" t="str">
        <f aca="false">INDEX(Partidas!$C$2:$C$99,MATCH(D5,Partidas!$A$2:$A$99,0))</f>
        <v>pa</v>
      </c>
      <c r="G5" s="10" t="n">
        <v>0</v>
      </c>
      <c r="H5" s="10" t="n">
        <v>1</v>
      </c>
    </row>
    <row r="6" customFormat="false" ht="15" hidden="false" customHeight="false" outlineLevel="0" collapsed="false">
      <c r="A6" s="0" t="s">
        <v>462</v>
      </c>
      <c r="B6" s="0" t="s">
        <v>463</v>
      </c>
      <c r="C6" s="0" t="s">
        <v>464</v>
      </c>
      <c r="D6" s="0" t="s">
        <v>103</v>
      </c>
      <c r="E6" s="9" t="str">
        <f aca="false">INDEX(Partidas!$D$2:$D$99,MATCH(D6,Partidas!$A$2:$A$99,0))</f>
        <v>Desmontaje de mobiliario existente</v>
      </c>
      <c r="F6" s="9" t="str">
        <f aca="false">INDEX(Partidas!$C$2:$C$99,MATCH(D6,Partidas!$A$2:$A$99,0))</f>
        <v>pa</v>
      </c>
      <c r="G6" s="10" t="n">
        <v>0</v>
      </c>
      <c r="H6" s="10" t="n">
        <v>1</v>
      </c>
    </row>
    <row r="7" customFormat="false" ht="15" hidden="false" customHeight="false" outlineLevel="0" collapsed="false">
      <c r="A7" s="0" t="s">
        <v>462</v>
      </c>
      <c r="B7" s="0" t="s">
        <v>463</v>
      </c>
      <c r="C7" s="0" t="s">
        <v>464</v>
      </c>
      <c r="D7" s="0" t="s">
        <v>145</v>
      </c>
      <c r="E7" s="9" t="str">
        <f aca="false">INDEX(Partidas!$D$2:$D$99,MATCH(D7,Partidas!$A$2:$A$99,0))</f>
        <v>Levantado de instalaciones existentes</v>
      </c>
      <c r="F7" s="9" t="str">
        <f aca="false">INDEX(Partidas!$C$2:$C$99,MATCH(D7,Partidas!$A$2:$A$99,0))</f>
        <v>pa</v>
      </c>
      <c r="G7" s="10" t="n">
        <v>0</v>
      </c>
      <c r="H7" s="10" t="n">
        <v>1</v>
      </c>
    </row>
    <row r="8" customFormat="false" ht="15" hidden="false" customHeight="false" outlineLevel="0" collapsed="false">
      <c r="A8" s="0" t="s">
        <v>462</v>
      </c>
      <c r="B8" s="0" t="s">
        <v>463</v>
      </c>
      <c r="C8" s="0" t="s">
        <v>464</v>
      </c>
      <c r="D8" s="0" t="s">
        <v>346</v>
      </c>
      <c r="E8" s="9" t="str">
        <f aca="false">INDEX(Partidas!$D$2:$D$99,MATCH(D8,Partidas!$A$2:$A$99,0))</f>
        <v>Instalación eléctrica: cuadro, circuitos y boletín</v>
      </c>
      <c r="F8" s="9" t="str">
        <f aca="false">INDEX(Partidas!$C$2:$C$99,MATCH(D8,Partidas!$A$2:$A$99,0))</f>
        <v>pa</v>
      </c>
      <c r="G8" s="10" t="n">
        <v>0</v>
      </c>
      <c r="H8" s="10" t="n">
        <v>1</v>
      </c>
    </row>
    <row r="9" customFormat="false" ht="15" hidden="false" customHeight="false" outlineLevel="0" collapsed="false">
      <c r="A9" s="0" t="s">
        <v>462</v>
      </c>
      <c r="B9" s="0" t="s">
        <v>463</v>
      </c>
      <c r="C9" s="0" t="s">
        <v>464</v>
      </c>
      <c r="D9" s="0" t="s">
        <v>386</v>
      </c>
      <c r="E9" s="9" t="str">
        <f aca="false">INDEX(Partidas!$D$2:$D$99,MATCH(D9,Partidas!$A$2:$A$99,0))</f>
        <v>Timbre</v>
      </c>
      <c r="F9" s="9" t="str">
        <f aca="false">INDEX(Partidas!$C$2:$C$99,MATCH(D9,Partidas!$A$2:$A$99,0))</f>
        <v>ud</v>
      </c>
      <c r="G9" s="10" t="n">
        <v>0</v>
      </c>
      <c r="H9" s="10" t="n">
        <v>1</v>
      </c>
    </row>
    <row r="10" customFormat="false" ht="15" hidden="false" customHeight="false" outlineLevel="0" collapsed="false">
      <c r="A10" s="0" t="s">
        <v>462</v>
      </c>
      <c r="B10" s="0" t="s">
        <v>463</v>
      </c>
      <c r="C10" s="0" t="s">
        <v>464</v>
      </c>
      <c r="D10" s="0" t="s">
        <v>393</v>
      </c>
      <c r="E10" s="9" t="str">
        <f aca="false">INDEX(Partidas!$D$2:$D$99,MATCH(D10,Partidas!$A$2:$A$99,0))</f>
        <v>Detector de humo autónomo</v>
      </c>
      <c r="F10" s="9" t="str">
        <f aca="false">INDEX(Partidas!$C$2:$C$99,MATCH(D10,Partidas!$A$2:$A$99,0))</f>
        <v>ud</v>
      </c>
      <c r="G10" s="10" t="n">
        <v>0</v>
      </c>
      <c r="H10" s="10" t="n">
        <v>2</v>
      </c>
    </row>
    <row r="11" customFormat="false" ht="15" hidden="false" customHeight="false" outlineLevel="0" collapsed="false">
      <c r="A11" s="0" t="s">
        <v>462</v>
      </c>
      <c r="B11" s="0" t="s">
        <v>463</v>
      </c>
      <c r="C11" s="0" t="s">
        <v>464</v>
      </c>
      <c r="D11" s="0" t="s">
        <v>438</v>
      </c>
      <c r="E11" s="9" t="str">
        <f aca="false">INDEX(Partidas!$D$2:$D$99,MATCH(D11,Partidas!$A$2:$A$99,0))</f>
        <v>Ayudas de albañilería a instalaciones</v>
      </c>
      <c r="F11" s="9" t="str">
        <f aca="false">INDEX(Partidas!$C$2:$C$99,MATCH(D11,Partidas!$A$2:$A$99,0))</f>
        <v>pa</v>
      </c>
      <c r="G11" s="10" t="n">
        <v>0</v>
      </c>
      <c r="H11" s="10" t="n">
        <v>1</v>
      </c>
    </row>
    <row r="12" customFormat="false" ht="15" hidden="false" customHeight="false" outlineLevel="0" collapsed="false">
      <c r="A12" s="0" t="s">
        <v>462</v>
      </c>
      <c r="B12" s="0" t="s">
        <v>463</v>
      </c>
      <c r="C12" s="0" t="s">
        <v>464</v>
      </c>
      <c r="D12" s="0" t="s">
        <v>442</v>
      </c>
      <c r="E12" s="9" t="str">
        <f aca="false">INDEX(Partidas!$D$2:$D$99,MATCH(D12,Partidas!$A$2:$A$99,0))</f>
        <v>Contenedor de escombros</v>
      </c>
      <c r="F12" s="9" t="str">
        <f aca="false">INDEX(Partidas!$C$2:$C$99,MATCH(D12,Partidas!$A$2:$A$99,0))</f>
        <v>ud</v>
      </c>
      <c r="G12" s="10" t="n">
        <v>0.044</v>
      </c>
      <c r="H12" s="10" t="n">
        <v>0</v>
      </c>
      <c r="I12" s="11" t="s">
        <v>465</v>
      </c>
    </row>
    <row r="13" customFormat="false" ht="15" hidden="false" customHeight="false" outlineLevel="0" collapsed="false">
      <c r="A13" s="0" t="s">
        <v>462</v>
      </c>
      <c r="B13" s="0" t="s">
        <v>463</v>
      </c>
      <c r="C13" s="0" t="s">
        <v>464</v>
      </c>
      <c r="D13" s="0" t="s">
        <v>446</v>
      </c>
      <c r="E13" s="9" t="str">
        <f aca="false">INDEX(Partidas!$D$2:$D$99,MATCH(D13,Partidas!$A$2:$A$99,0))</f>
        <v>Gestión documental de residuos</v>
      </c>
      <c r="F13" s="9" t="str">
        <f aca="false">INDEX(Partidas!$C$2:$C$99,MATCH(D13,Partidas!$A$2:$A$99,0))</f>
        <v>pa</v>
      </c>
      <c r="G13" s="10" t="n">
        <v>0</v>
      </c>
      <c r="H13" s="10" t="n">
        <v>1</v>
      </c>
    </row>
    <row r="14" customFormat="false" ht="15" hidden="false" customHeight="false" outlineLevel="0" collapsed="false">
      <c r="A14" s="0" t="s">
        <v>462</v>
      </c>
      <c r="B14" s="0" t="s">
        <v>463</v>
      </c>
      <c r="C14" s="0" t="s">
        <v>464</v>
      </c>
      <c r="D14" s="0" t="s">
        <v>449</v>
      </c>
      <c r="E14" s="9" t="str">
        <f aca="false">INDEX(Partidas!$D$2:$D$99,MATCH(D14,Partidas!$A$2:$A$99,0))</f>
        <v>Seguridad y salud</v>
      </c>
      <c r="F14" s="9" t="str">
        <f aca="false">INDEX(Partidas!$C$2:$C$99,MATCH(D14,Partidas!$A$2:$A$99,0))</f>
        <v>pa</v>
      </c>
      <c r="G14" s="10" t="n">
        <v>0</v>
      </c>
      <c r="H14" s="10" t="n">
        <v>1</v>
      </c>
    </row>
    <row r="15" customFormat="false" ht="15" hidden="false" customHeight="false" outlineLevel="0" collapsed="false">
      <c r="A15" s="0" t="s">
        <v>462</v>
      </c>
      <c r="B15" s="0" t="s">
        <v>463</v>
      </c>
      <c r="C15" s="0" t="s">
        <v>464</v>
      </c>
      <c r="D15" s="0" t="s">
        <v>451</v>
      </c>
      <c r="E15" s="9" t="str">
        <f aca="false">INDEX(Partidas!$D$2:$D$99,MATCH(D15,Partidas!$A$2:$A$99,0))</f>
        <v>Limpieza de fin de obra</v>
      </c>
      <c r="F15" s="9" t="str">
        <f aca="false">INDEX(Partidas!$C$2:$C$99,MATCH(D15,Partidas!$A$2:$A$99,0))</f>
        <v>pa</v>
      </c>
      <c r="G15" s="10" t="n">
        <v>0</v>
      </c>
      <c r="H15" s="10" t="n">
        <v>1</v>
      </c>
    </row>
    <row r="16" customFormat="false" ht="15" hidden="false" customHeight="false" outlineLevel="0" collapsed="false">
      <c r="A16" s="0" t="s">
        <v>466</v>
      </c>
      <c r="B16" s="0" t="s">
        <v>467</v>
      </c>
      <c r="C16" s="0" t="s">
        <v>468</v>
      </c>
      <c r="D16" s="0" t="s">
        <v>217</v>
      </c>
      <c r="E16" s="9" t="str">
        <f aca="false">INDEX(Partidas!$D$2:$D$99,MATCH(D16,Partidas!$A$2:$A$99,0))</f>
        <v>Suelo laminado flotante</v>
      </c>
      <c r="F16" s="9" t="str">
        <f aca="false">INDEX(Partidas!$C$2:$C$99,MATCH(D16,Partidas!$A$2:$A$99,0))</f>
        <v>m2</v>
      </c>
      <c r="G16" s="10" t="n">
        <v>1</v>
      </c>
      <c r="H16" s="10" t="n">
        <v>0</v>
      </c>
    </row>
    <row r="17" customFormat="false" ht="15" hidden="false" customHeight="false" outlineLevel="0" collapsed="false">
      <c r="A17" s="0" t="s">
        <v>466</v>
      </c>
      <c r="B17" s="0" t="s">
        <v>467</v>
      </c>
      <c r="C17" s="0" t="s">
        <v>468</v>
      </c>
      <c r="D17" s="0" t="s">
        <v>229</v>
      </c>
      <c r="E17" s="9" t="str">
        <f aca="false">INDEX(Partidas!$D$2:$D$99,MATCH(D17,Partidas!$A$2:$A$99,0))</f>
        <v>Rodapié lacado blanco 20 cm</v>
      </c>
      <c r="F17" s="9" t="str">
        <f aca="false">INDEX(Partidas!$C$2:$C$99,MATCH(D17,Partidas!$A$2:$A$99,0))</f>
        <v>m</v>
      </c>
      <c r="G17" s="10" t="n">
        <v>0.9</v>
      </c>
      <c r="H17" s="10" t="n">
        <v>0</v>
      </c>
      <c r="I17" s="11" t="s">
        <v>469</v>
      </c>
    </row>
    <row r="18" customFormat="false" ht="15" hidden="false" customHeight="false" outlineLevel="0" collapsed="false">
      <c r="A18" s="0" t="s">
        <v>466</v>
      </c>
      <c r="B18" s="0" t="s">
        <v>467</v>
      </c>
      <c r="C18" s="0" t="s">
        <v>468</v>
      </c>
      <c r="D18" s="0" t="s">
        <v>160</v>
      </c>
      <c r="E18" s="9" t="str">
        <f aca="false">INDEX(Partidas!$D$2:$D$99,MATCH(D18,Partidas!$A$2:$A$99,0))</f>
        <v>Falso techo continuo PYL</v>
      </c>
      <c r="F18" s="9" t="str">
        <f aca="false">INDEX(Partidas!$C$2:$C$99,MATCH(D18,Partidas!$A$2:$A$99,0))</f>
        <v>m2</v>
      </c>
      <c r="G18" s="10" t="n">
        <v>1</v>
      </c>
      <c r="H18" s="10" t="n">
        <v>0</v>
      </c>
    </row>
    <row r="19" customFormat="false" ht="15" hidden="false" customHeight="false" outlineLevel="0" collapsed="false">
      <c r="A19" s="0" t="s">
        <v>466</v>
      </c>
      <c r="B19" s="0" t="s">
        <v>467</v>
      </c>
      <c r="C19" s="0" t="s">
        <v>468</v>
      </c>
      <c r="D19" s="0" t="s">
        <v>427</v>
      </c>
      <c r="E19" s="9" t="str">
        <f aca="false">INDEX(Partidas!$D$2:$D$99,MATCH(D19,Partidas!$A$2:$A$99,0))</f>
        <v>Pintura plástica lisa en paredes</v>
      </c>
      <c r="F19" s="9" t="str">
        <f aca="false">INDEX(Partidas!$C$2:$C$99,MATCH(D19,Partidas!$A$2:$A$99,0))</f>
        <v>m2</v>
      </c>
      <c r="G19" s="10" t="n">
        <v>2.4</v>
      </c>
      <c r="H19" s="10" t="n">
        <v>0</v>
      </c>
      <c r="I19" s="11" t="s">
        <v>470</v>
      </c>
    </row>
    <row r="20" customFormat="false" ht="15" hidden="false" customHeight="false" outlineLevel="0" collapsed="false">
      <c r="A20" s="0" t="s">
        <v>466</v>
      </c>
      <c r="B20" s="0" t="s">
        <v>467</v>
      </c>
      <c r="C20" s="0" t="s">
        <v>468</v>
      </c>
      <c r="D20" s="0" t="s">
        <v>431</v>
      </c>
      <c r="E20" s="9" t="str">
        <f aca="false">INDEX(Partidas!$D$2:$D$99,MATCH(D20,Partidas!$A$2:$A$99,0))</f>
        <v>Pintura plástica lisa en techos</v>
      </c>
      <c r="F20" s="9" t="str">
        <f aca="false">INDEX(Partidas!$C$2:$C$99,MATCH(D20,Partidas!$A$2:$A$99,0))</f>
        <v>m2</v>
      </c>
      <c r="G20" s="10" t="n">
        <v>1</v>
      </c>
      <c r="H20" s="10" t="n">
        <v>0</v>
      </c>
    </row>
    <row r="21" customFormat="false" ht="15" hidden="false" customHeight="false" outlineLevel="0" collapsed="false">
      <c r="A21" s="0" t="s">
        <v>466</v>
      </c>
      <c r="B21" s="0" t="s">
        <v>467</v>
      </c>
      <c r="C21" s="0" t="s">
        <v>468</v>
      </c>
      <c r="D21" s="0" t="s">
        <v>358</v>
      </c>
      <c r="E21" s="9" t="str">
        <f aca="false">INDEX(Partidas!$D$2:$D$99,MATCH(D21,Partidas!$A$2:$A$99,0))</f>
        <v>Punto de luz conmutado</v>
      </c>
      <c r="F21" s="9" t="str">
        <f aca="false">INDEX(Partidas!$C$2:$C$99,MATCH(D21,Partidas!$A$2:$A$99,0))</f>
        <v>ud</v>
      </c>
      <c r="G21" s="10" t="n">
        <v>0</v>
      </c>
      <c r="H21" s="10" t="n">
        <v>1</v>
      </c>
    </row>
    <row r="22" customFormat="false" ht="15" hidden="false" customHeight="false" outlineLevel="0" collapsed="false">
      <c r="A22" s="0" t="s">
        <v>466</v>
      </c>
      <c r="B22" s="0" t="s">
        <v>467</v>
      </c>
      <c r="C22" s="0" t="s">
        <v>468</v>
      </c>
      <c r="D22" s="0" t="s">
        <v>354</v>
      </c>
      <c r="E22" s="9" t="str">
        <f aca="false">INDEX(Partidas!$D$2:$D$99,MATCH(D22,Partidas!$A$2:$A$99,0))</f>
        <v>Punto de luz adicional en el mismo circuito</v>
      </c>
      <c r="F22" s="9" t="str">
        <f aca="false">INDEX(Partidas!$C$2:$C$99,MATCH(D22,Partidas!$A$2:$A$99,0))</f>
        <v>ud</v>
      </c>
      <c r="G22" s="10" t="n">
        <v>0</v>
      </c>
      <c r="H22" s="10" t="n">
        <v>1</v>
      </c>
    </row>
    <row r="23" customFormat="false" ht="15" hidden="false" customHeight="false" outlineLevel="0" collapsed="false">
      <c r="A23" s="0" t="s">
        <v>466</v>
      </c>
      <c r="B23" s="0" t="s">
        <v>467</v>
      </c>
      <c r="C23" s="0" t="s">
        <v>468</v>
      </c>
      <c r="D23" s="0" t="s">
        <v>350</v>
      </c>
      <c r="E23" s="9" t="str">
        <f aca="false">INDEX(Partidas!$D$2:$D$99,MATCH(D23,Partidas!$A$2:$A$99,0))</f>
        <v>Punto de luz sencillo</v>
      </c>
      <c r="F23" s="9" t="str">
        <f aca="false">INDEX(Partidas!$C$2:$C$99,MATCH(D23,Partidas!$A$2:$A$99,0))</f>
        <v>ud</v>
      </c>
      <c r="G23" s="10" t="n">
        <v>0</v>
      </c>
      <c r="H23" s="10" t="n">
        <v>1</v>
      </c>
    </row>
    <row r="24" customFormat="false" ht="15" hidden="false" customHeight="false" outlineLevel="0" collapsed="false">
      <c r="A24" s="0" t="s">
        <v>466</v>
      </c>
      <c r="B24" s="0" t="s">
        <v>467</v>
      </c>
      <c r="C24" s="0" t="s">
        <v>468</v>
      </c>
      <c r="D24" s="0" t="s">
        <v>366</v>
      </c>
      <c r="E24" s="9" t="str">
        <f aca="false">INDEX(Partidas!$D$2:$D$99,MATCH(D24,Partidas!$A$2:$A$99,0))</f>
        <v>Toma de corriente</v>
      </c>
      <c r="F24" s="9" t="str">
        <f aca="false">INDEX(Partidas!$C$2:$C$99,MATCH(D24,Partidas!$A$2:$A$99,0))</f>
        <v>ud</v>
      </c>
      <c r="G24" s="10" t="n">
        <v>0</v>
      </c>
      <c r="H24" s="10" t="n">
        <v>4</v>
      </c>
    </row>
    <row r="25" customFormat="false" ht="15" hidden="false" customHeight="false" outlineLevel="0" collapsed="false">
      <c r="A25" s="0" t="s">
        <v>466</v>
      </c>
      <c r="B25" s="0" t="s">
        <v>467</v>
      </c>
      <c r="C25" s="0" t="s">
        <v>468</v>
      </c>
      <c r="D25" s="0" t="s">
        <v>247</v>
      </c>
      <c r="E25" s="9" t="str">
        <f aca="false">INDEX(Partidas!$D$2:$D$99,MATCH(D25,Partidas!$A$2:$A$99,0))</f>
        <v>Puerta de paso abatible, altura estándar</v>
      </c>
      <c r="F25" s="9" t="str">
        <f aca="false">INDEX(Partidas!$C$2:$C$99,MATCH(D25,Partidas!$A$2:$A$99,0))</f>
        <v>ud</v>
      </c>
      <c r="G25" s="10" t="n">
        <v>0</v>
      </c>
      <c r="H25" s="10" t="n">
        <v>1</v>
      </c>
    </row>
    <row r="26" customFormat="false" ht="15" hidden="false" customHeight="false" outlineLevel="0" collapsed="false">
      <c r="A26" s="0" t="s">
        <v>471</v>
      </c>
      <c r="B26" s="0" t="s">
        <v>472</v>
      </c>
      <c r="C26" s="0" t="s">
        <v>468</v>
      </c>
      <c r="D26" s="0" t="s">
        <v>217</v>
      </c>
      <c r="E26" s="9" t="str">
        <f aca="false">INDEX(Partidas!$D$2:$D$99,MATCH(D26,Partidas!$A$2:$A$99,0))</f>
        <v>Suelo laminado flotante</v>
      </c>
      <c r="F26" s="9" t="str">
        <f aca="false">INDEX(Partidas!$C$2:$C$99,MATCH(D26,Partidas!$A$2:$A$99,0))</f>
        <v>m2</v>
      </c>
      <c r="G26" s="10" t="n">
        <v>1</v>
      </c>
      <c r="H26" s="10" t="n">
        <v>0</v>
      </c>
    </row>
    <row r="27" customFormat="false" ht="15" hidden="false" customHeight="false" outlineLevel="0" collapsed="false">
      <c r="A27" s="0" t="s">
        <v>471</v>
      </c>
      <c r="B27" s="0" t="s">
        <v>472</v>
      </c>
      <c r="C27" s="0" t="s">
        <v>468</v>
      </c>
      <c r="D27" s="0" t="s">
        <v>229</v>
      </c>
      <c r="E27" s="9" t="str">
        <f aca="false">INDEX(Partidas!$D$2:$D$99,MATCH(D27,Partidas!$A$2:$A$99,0))</f>
        <v>Rodapié lacado blanco 20 cm</v>
      </c>
      <c r="F27" s="9" t="str">
        <f aca="false">INDEX(Partidas!$C$2:$C$99,MATCH(D27,Partidas!$A$2:$A$99,0))</f>
        <v>m</v>
      </c>
      <c r="G27" s="10" t="n">
        <v>0.9</v>
      </c>
      <c r="H27" s="10" t="n">
        <v>0</v>
      </c>
    </row>
    <row r="28" customFormat="false" ht="15" hidden="false" customHeight="false" outlineLevel="0" collapsed="false">
      <c r="A28" s="0" t="s">
        <v>471</v>
      </c>
      <c r="B28" s="0" t="s">
        <v>472</v>
      </c>
      <c r="C28" s="0" t="s">
        <v>468</v>
      </c>
      <c r="D28" s="0" t="s">
        <v>160</v>
      </c>
      <c r="E28" s="9" t="str">
        <f aca="false">INDEX(Partidas!$D$2:$D$99,MATCH(D28,Partidas!$A$2:$A$99,0))</f>
        <v>Falso techo continuo PYL</v>
      </c>
      <c r="F28" s="9" t="str">
        <f aca="false">INDEX(Partidas!$C$2:$C$99,MATCH(D28,Partidas!$A$2:$A$99,0))</f>
        <v>m2</v>
      </c>
      <c r="G28" s="10" t="n">
        <v>1</v>
      </c>
      <c r="H28" s="10" t="n">
        <v>0</v>
      </c>
    </row>
    <row r="29" customFormat="false" ht="15" hidden="false" customHeight="false" outlineLevel="0" collapsed="false">
      <c r="A29" s="0" t="s">
        <v>471</v>
      </c>
      <c r="B29" s="0" t="s">
        <v>472</v>
      </c>
      <c r="C29" s="0" t="s">
        <v>468</v>
      </c>
      <c r="D29" s="0" t="s">
        <v>427</v>
      </c>
      <c r="E29" s="9" t="str">
        <f aca="false">INDEX(Partidas!$D$2:$D$99,MATCH(D29,Partidas!$A$2:$A$99,0))</f>
        <v>Pintura plástica lisa en paredes</v>
      </c>
      <c r="F29" s="9" t="str">
        <f aca="false">INDEX(Partidas!$C$2:$C$99,MATCH(D29,Partidas!$A$2:$A$99,0))</f>
        <v>m2</v>
      </c>
      <c r="G29" s="10" t="n">
        <v>2.4</v>
      </c>
      <c r="H29" s="10" t="n">
        <v>0</v>
      </c>
    </row>
    <row r="30" customFormat="false" ht="15" hidden="false" customHeight="false" outlineLevel="0" collapsed="false">
      <c r="A30" s="0" t="s">
        <v>471</v>
      </c>
      <c r="B30" s="0" t="s">
        <v>472</v>
      </c>
      <c r="C30" s="0" t="s">
        <v>468</v>
      </c>
      <c r="D30" s="0" t="s">
        <v>431</v>
      </c>
      <c r="E30" s="9" t="str">
        <f aca="false">INDEX(Partidas!$D$2:$D$99,MATCH(D30,Partidas!$A$2:$A$99,0))</f>
        <v>Pintura plástica lisa en techos</v>
      </c>
      <c r="F30" s="9" t="str">
        <f aca="false">INDEX(Partidas!$C$2:$C$99,MATCH(D30,Partidas!$A$2:$A$99,0))</f>
        <v>m2</v>
      </c>
      <c r="G30" s="10" t="n">
        <v>1</v>
      </c>
      <c r="H30" s="10" t="n">
        <v>0</v>
      </c>
    </row>
    <row r="31" customFormat="false" ht="15" hidden="false" customHeight="false" outlineLevel="0" collapsed="false">
      <c r="A31" s="0" t="s">
        <v>471</v>
      </c>
      <c r="B31" s="0" t="s">
        <v>472</v>
      </c>
      <c r="C31" s="0" t="s">
        <v>468</v>
      </c>
      <c r="D31" s="0" t="s">
        <v>362</v>
      </c>
      <c r="E31" s="9" t="str">
        <f aca="false">INDEX(Partidas!$D$2:$D$99,MATCH(D31,Partidas!$A$2:$A$99,0))</f>
        <v>Punto de luz de cruce</v>
      </c>
      <c r="F31" s="9" t="str">
        <f aca="false">INDEX(Partidas!$C$2:$C$99,MATCH(D31,Partidas!$A$2:$A$99,0))</f>
        <v>ud</v>
      </c>
      <c r="G31" s="10" t="n">
        <v>0</v>
      </c>
      <c r="H31" s="10" t="n">
        <v>1</v>
      </c>
    </row>
    <row r="32" customFormat="false" ht="15" hidden="false" customHeight="false" outlineLevel="0" collapsed="false">
      <c r="A32" s="0" t="s">
        <v>471</v>
      </c>
      <c r="B32" s="0" t="s">
        <v>472</v>
      </c>
      <c r="C32" s="0" t="s">
        <v>468</v>
      </c>
      <c r="D32" s="0" t="s">
        <v>358</v>
      </c>
      <c r="E32" s="9" t="str">
        <f aca="false">INDEX(Partidas!$D$2:$D$99,MATCH(D32,Partidas!$A$2:$A$99,0))</f>
        <v>Punto de luz conmutado</v>
      </c>
      <c r="F32" s="9" t="str">
        <f aca="false">INDEX(Partidas!$C$2:$C$99,MATCH(D32,Partidas!$A$2:$A$99,0))</f>
        <v>ud</v>
      </c>
      <c r="G32" s="10" t="n">
        <v>0</v>
      </c>
      <c r="H32" s="10" t="n">
        <v>2</v>
      </c>
    </row>
    <row r="33" customFormat="false" ht="15" hidden="false" customHeight="false" outlineLevel="0" collapsed="false">
      <c r="A33" s="0" t="s">
        <v>471</v>
      </c>
      <c r="B33" s="0" t="s">
        <v>472</v>
      </c>
      <c r="C33" s="0" t="s">
        <v>468</v>
      </c>
      <c r="D33" s="0" t="s">
        <v>354</v>
      </c>
      <c r="E33" s="9" t="str">
        <f aca="false">INDEX(Partidas!$D$2:$D$99,MATCH(D33,Partidas!$A$2:$A$99,0))</f>
        <v>Punto de luz adicional en el mismo circuito</v>
      </c>
      <c r="F33" s="9" t="str">
        <f aca="false">INDEX(Partidas!$C$2:$C$99,MATCH(D33,Partidas!$A$2:$A$99,0))</f>
        <v>ud</v>
      </c>
      <c r="G33" s="10" t="n">
        <v>0</v>
      </c>
      <c r="H33" s="10" t="n">
        <v>4</v>
      </c>
    </row>
    <row r="34" customFormat="false" ht="15" hidden="false" customHeight="false" outlineLevel="0" collapsed="false">
      <c r="A34" s="0" t="s">
        <v>471</v>
      </c>
      <c r="B34" s="0" t="s">
        <v>472</v>
      </c>
      <c r="C34" s="0" t="s">
        <v>468</v>
      </c>
      <c r="D34" s="0" t="s">
        <v>366</v>
      </c>
      <c r="E34" s="9" t="str">
        <f aca="false">INDEX(Partidas!$D$2:$D$99,MATCH(D34,Partidas!$A$2:$A$99,0))</f>
        <v>Toma de corriente</v>
      </c>
      <c r="F34" s="9" t="str">
        <f aca="false">INDEX(Partidas!$C$2:$C$99,MATCH(D34,Partidas!$A$2:$A$99,0))</f>
        <v>ud</v>
      </c>
      <c r="G34" s="10" t="n">
        <v>0</v>
      </c>
      <c r="H34" s="10" t="n">
        <v>8</v>
      </c>
    </row>
    <row r="35" customFormat="false" ht="15" hidden="false" customHeight="false" outlineLevel="0" collapsed="false">
      <c r="A35" s="0" t="s">
        <v>471</v>
      </c>
      <c r="B35" s="0" t="s">
        <v>472</v>
      </c>
      <c r="C35" s="0" t="s">
        <v>468</v>
      </c>
      <c r="D35" s="0" t="s">
        <v>374</v>
      </c>
      <c r="E35" s="9" t="str">
        <f aca="false">INDEX(Partidas!$D$2:$D$99,MATCH(D35,Partidas!$A$2:$A$99,0))</f>
        <v>Toma de TV o datos</v>
      </c>
      <c r="F35" s="9" t="str">
        <f aca="false">INDEX(Partidas!$C$2:$C$99,MATCH(D35,Partidas!$A$2:$A$99,0))</f>
        <v>ud</v>
      </c>
      <c r="G35" s="10" t="n">
        <v>0</v>
      </c>
      <c r="H35" s="10" t="n">
        <v>2</v>
      </c>
    </row>
    <row r="36" customFormat="false" ht="15" hidden="false" customHeight="false" outlineLevel="0" collapsed="false">
      <c r="A36" s="0" t="s">
        <v>473</v>
      </c>
      <c r="B36" s="0" t="s">
        <v>474</v>
      </c>
      <c r="C36" s="0" t="s">
        <v>468</v>
      </c>
      <c r="D36" s="0" t="s">
        <v>217</v>
      </c>
      <c r="E36" s="9" t="str">
        <f aca="false">INDEX(Partidas!$D$2:$D$99,MATCH(D36,Partidas!$A$2:$A$99,0))</f>
        <v>Suelo laminado flotante</v>
      </c>
      <c r="F36" s="9" t="str">
        <f aca="false">INDEX(Partidas!$C$2:$C$99,MATCH(D36,Partidas!$A$2:$A$99,0))</f>
        <v>m2</v>
      </c>
      <c r="G36" s="10" t="n">
        <v>1</v>
      </c>
      <c r="H36" s="10" t="n">
        <v>0</v>
      </c>
    </row>
    <row r="37" customFormat="false" ht="15" hidden="false" customHeight="false" outlineLevel="0" collapsed="false">
      <c r="A37" s="0" t="s">
        <v>473</v>
      </c>
      <c r="B37" s="0" t="s">
        <v>474</v>
      </c>
      <c r="C37" s="0" t="s">
        <v>468</v>
      </c>
      <c r="D37" s="0" t="s">
        <v>229</v>
      </c>
      <c r="E37" s="9" t="str">
        <f aca="false">INDEX(Partidas!$D$2:$D$99,MATCH(D37,Partidas!$A$2:$A$99,0))</f>
        <v>Rodapié lacado blanco 20 cm</v>
      </c>
      <c r="F37" s="9" t="str">
        <f aca="false">INDEX(Partidas!$C$2:$C$99,MATCH(D37,Partidas!$A$2:$A$99,0))</f>
        <v>m</v>
      </c>
      <c r="G37" s="10" t="n">
        <v>1.6</v>
      </c>
      <c r="H37" s="10" t="n">
        <v>0</v>
      </c>
    </row>
    <row r="38" customFormat="false" ht="15" hidden="false" customHeight="false" outlineLevel="0" collapsed="false">
      <c r="A38" s="0" t="s">
        <v>473</v>
      </c>
      <c r="B38" s="0" t="s">
        <v>474</v>
      </c>
      <c r="C38" s="0" t="s">
        <v>468</v>
      </c>
      <c r="D38" s="0" t="s">
        <v>160</v>
      </c>
      <c r="E38" s="9" t="str">
        <f aca="false">INDEX(Partidas!$D$2:$D$99,MATCH(D38,Partidas!$A$2:$A$99,0))</f>
        <v>Falso techo continuo PYL</v>
      </c>
      <c r="F38" s="9" t="str">
        <f aca="false">INDEX(Partidas!$C$2:$C$99,MATCH(D38,Partidas!$A$2:$A$99,0))</f>
        <v>m2</v>
      </c>
      <c r="G38" s="10" t="n">
        <v>1</v>
      </c>
      <c r="H38" s="10" t="n">
        <v>0</v>
      </c>
    </row>
    <row r="39" customFormat="false" ht="15" hidden="false" customHeight="false" outlineLevel="0" collapsed="false">
      <c r="A39" s="0" t="s">
        <v>473</v>
      </c>
      <c r="B39" s="0" t="s">
        <v>474</v>
      </c>
      <c r="C39" s="0" t="s">
        <v>468</v>
      </c>
      <c r="D39" s="0" t="s">
        <v>427</v>
      </c>
      <c r="E39" s="9" t="str">
        <f aca="false">INDEX(Partidas!$D$2:$D$99,MATCH(D39,Partidas!$A$2:$A$99,0))</f>
        <v>Pintura plástica lisa en paredes</v>
      </c>
      <c r="F39" s="9" t="str">
        <f aca="false">INDEX(Partidas!$C$2:$C$99,MATCH(D39,Partidas!$A$2:$A$99,0))</f>
        <v>m2</v>
      </c>
      <c r="G39" s="10" t="n">
        <v>3.5</v>
      </c>
      <c r="H39" s="10" t="n">
        <v>0</v>
      </c>
    </row>
    <row r="40" customFormat="false" ht="15" hidden="false" customHeight="false" outlineLevel="0" collapsed="false">
      <c r="A40" s="0" t="s">
        <v>473</v>
      </c>
      <c r="B40" s="0" t="s">
        <v>474</v>
      </c>
      <c r="C40" s="0" t="s">
        <v>468</v>
      </c>
      <c r="D40" s="0" t="s">
        <v>431</v>
      </c>
      <c r="E40" s="9" t="str">
        <f aca="false">INDEX(Partidas!$D$2:$D$99,MATCH(D40,Partidas!$A$2:$A$99,0))</f>
        <v>Pintura plástica lisa en techos</v>
      </c>
      <c r="F40" s="9" t="str">
        <f aca="false">INDEX(Partidas!$C$2:$C$99,MATCH(D40,Partidas!$A$2:$A$99,0))</f>
        <v>m2</v>
      </c>
      <c r="G40" s="10" t="n">
        <v>1</v>
      </c>
      <c r="H40" s="10" t="n">
        <v>0</v>
      </c>
    </row>
    <row r="41" customFormat="false" ht="15" hidden="false" customHeight="false" outlineLevel="0" collapsed="false">
      <c r="A41" s="0" t="s">
        <v>473</v>
      </c>
      <c r="B41" s="0" t="s">
        <v>474</v>
      </c>
      <c r="C41" s="0" t="s">
        <v>468</v>
      </c>
      <c r="D41" s="0" t="s">
        <v>358</v>
      </c>
      <c r="E41" s="9" t="str">
        <f aca="false">INDEX(Partidas!$D$2:$D$99,MATCH(D41,Partidas!$A$2:$A$99,0))</f>
        <v>Punto de luz conmutado</v>
      </c>
      <c r="F41" s="9" t="str">
        <f aca="false">INDEX(Partidas!$C$2:$C$99,MATCH(D41,Partidas!$A$2:$A$99,0))</f>
        <v>ud</v>
      </c>
      <c r="G41" s="10" t="n">
        <v>0</v>
      </c>
      <c r="H41" s="10" t="n">
        <v>1</v>
      </c>
    </row>
    <row r="42" customFormat="false" ht="15" hidden="false" customHeight="false" outlineLevel="0" collapsed="false">
      <c r="A42" s="0" t="s">
        <v>473</v>
      </c>
      <c r="B42" s="0" t="s">
        <v>474</v>
      </c>
      <c r="C42" s="0" t="s">
        <v>468</v>
      </c>
      <c r="D42" s="0" t="s">
        <v>354</v>
      </c>
      <c r="E42" s="9" t="str">
        <f aca="false">INDEX(Partidas!$D$2:$D$99,MATCH(D42,Partidas!$A$2:$A$99,0))</f>
        <v>Punto de luz adicional en el mismo circuito</v>
      </c>
      <c r="F42" s="9" t="str">
        <f aca="false">INDEX(Partidas!$C$2:$C$99,MATCH(D42,Partidas!$A$2:$A$99,0))</f>
        <v>ud</v>
      </c>
      <c r="G42" s="10" t="n">
        <v>0</v>
      </c>
      <c r="H42" s="10" t="n">
        <v>1</v>
      </c>
    </row>
    <row r="43" customFormat="false" ht="15" hidden="false" customHeight="false" outlineLevel="0" collapsed="false">
      <c r="A43" s="0" t="s">
        <v>473</v>
      </c>
      <c r="B43" s="0" t="s">
        <v>474</v>
      </c>
      <c r="C43" s="0" t="s">
        <v>468</v>
      </c>
      <c r="D43" s="0" t="s">
        <v>366</v>
      </c>
      <c r="E43" s="9" t="str">
        <f aca="false">INDEX(Partidas!$D$2:$D$99,MATCH(D43,Partidas!$A$2:$A$99,0))</f>
        <v>Toma de corriente</v>
      </c>
      <c r="F43" s="9" t="str">
        <f aca="false">INDEX(Partidas!$C$2:$C$99,MATCH(D43,Partidas!$A$2:$A$99,0))</f>
        <v>ud</v>
      </c>
      <c r="G43" s="10" t="n">
        <v>0</v>
      </c>
      <c r="H43" s="10" t="n">
        <v>2</v>
      </c>
    </row>
    <row r="44" customFormat="false" ht="15" hidden="false" customHeight="false" outlineLevel="0" collapsed="false">
      <c r="A44" s="0" t="s">
        <v>475</v>
      </c>
      <c r="B44" s="0" t="s">
        <v>476</v>
      </c>
      <c r="C44" s="0" t="s">
        <v>468</v>
      </c>
      <c r="D44" s="0" t="s">
        <v>180</v>
      </c>
      <c r="E44" s="9" t="str">
        <f aca="false">INDEX(Partidas!$D$2:$D$99,MATCH(D44,Partidas!$A$2:$A$99,0))</f>
        <v>Impermeabilización de suelo en zona húmeda</v>
      </c>
      <c r="F44" s="9" t="str">
        <f aca="false">INDEX(Partidas!$C$2:$C$99,MATCH(D44,Partidas!$A$2:$A$99,0))</f>
        <v>m2</v>
      </c>
      <c r="G44" s="10" t="n">
        <v>1</v>
      </c>
      <c r="H44" s="10" t="n">
        <v>0</v>
      </c>
    </row>
    <row r="45" customFormat="false" ht="15" hidden="false" customHeight="false" outlineLevel="0" collapsed="false">
      <c r="A45" s="0" t="s">
        <v>475</v>
      </c>
      <c r="B45" s="0" t="s">
        <v>476</v>
      </c>
      <c r="C45" s="0" t="s">
        <v>468</v>
      </c>
      <c r="D45" s="0" t="s">
        <v>213</v>
      </c>
      <c r="E45" s="9" t="str">
        <f aca="false">INDEX(Partidas!$D$2:$D$99,MATCH(D45,Partidas!$A$2:$A$99,0))</f>
        <v>Solado de gres porcelánico</v>
      </c>
      <c r="F45" s="9" t="str">
        <f aca="false">INDEX(Partidas!$C$2:$C$99,MATCH(D45,Partidas!$A$2:$A$99,0))</f>
        <v>m2</v>
      </c>
      <c r="G45" s="10" t="n">
        <v>1</v>
      </c>
      <c r="H45" s="10" t="n">
        <v>0</v>
      </c>
    </row>
    <row r="46" customFormat="false" ht="15" hidden="false" customHeight="false" outlineLevel="0" collapsed="false">
      <c r="A46" s="0" t="s">
        <v>475</v>
      </c>
      <c r="B46" s="0" t="s">
        <v>476</v>
      </c>
      <c r="C46" s="0" t="s">
        <v>468</v>
      </c>
      <c r="D46" s="0" t="s">
        <v>190</v>
      </c>
      <c r="E46" s="9" t="str">
        <f aca="false">INDEX(Partidas!$D$2:$D$99,MATCH(D46,Partidas!$A$2:$A$99,0))</f>
        <v>Alicatado de gres porcelánico</v>
      </c>
      <c r="F46" s="9" t="str">
        <f aca="false">INDEX(Partidas!$C$2:$C$99,MATCH(D46,Partidas!$A$2:$A$99,0))</f>
        <v>m2</v>
      </c>
      <c r="G46" s="10" t="n">
        <v>3.7</v>
      </c>
      <c r="H46" s="10" t="n">
        <v>0</v>
      </c>
      <c r="I46" s="11" t="s">
        <v>477</v>
      </c>
    </row>
    <row r="47" customFormat="false" ht="15" hidden="false" customHeight="false" outlineLevel="0" collapsed="false">
      <c r="A47" s="0" t="s">
        <v>475</v>
      </c>
      <c r="B47" s="0" t="s">
        <v>476</v>
      </c>
      <c r="C47" s="0" t="s">
        <v>468</v>
      </c>
      <c r="D47" s="0" t="s">
        <v>164</v>
      </c>
      <c r="E47" s="9" t="str">
        <f aca="false">INDEX(Partidas!$D$2:$D$99,MATCH(D47,Partidas!$A$2:$A$99,0))</f>
        <v>Falso techo continuo PYL hidrófugo</v>
      </c>
      <c r="F47" s="9" t="str">
        <f aca="false">INDEX(Partidas!$C$2:$C$99,MATCH(D47,Partidas!$A$2:$A$99,0))</f>
        <v>m2</v>
      </c>
      <c r="G47" s="10" t="n">
        <v>1</v>
      </c>
      <c r="H47" s="10" t="n">
        <v>0</v>
      </c>
    </row>
    <row r="48" customFormat="false" ht="15" hidden="false" customHeight="false" outlineLevel="0" collapsed="false">
      <c r="A48" s="0" t="s">
        <v>475</v>
      </c>
      <c r="B48" s="0" t="s">
        <v>476</v>
      </c>
      <c r="C48" s="0" t="s">
        <v>468</v>
      </c>
      <c r="D48" s="0" t="s">
        <v>431</v>
      </c>
      <c r="E48" s="9" t="str">
        <f aca="false">INDEX(Partidas!$D$2:$D$99,MATCH(D48,Partidas!$A$2:$A$99,0))</f>
        <v>Pintura plástica lisa en techos</v>
      </c>
      <c r="F48" s="9" t="str">
        <f aca="false">INDEX(Partidas!$C$2:$C$99,MATCH(D48,Partidas!$A$2:$A$99,0))</f>
        <v>m2</v>
      </c>
      <c r="G48" s="10" t="n">
        <v>1</v>
      </c>
      <c r="H48" s="10" t="n">
        <v>0</v>
      </c>
    </row>
    <row r="49" customFormat="false" ht="15" hidden="false" customHeight="false" outlineLevel="0" collapsed="false">
      <c r="A49" s="0" t="s">
        <v>475</v>
      </c>
      <c r="B49" s="0" t="s">
        <v>476</v>
      </c>
      <c r="C49" s="0" t="s">
        <v>468</v>
      </c>
      <c r="D49" s="0" t="s">
        <v>271</v>
      </c>
      <c r="E49" s="9" t="str">
        <f aca="false">INDEX(Partidas!$D$2:$D$99,MATCH(D49,Partidas!$A$2:$A$99,0))</f>
        <v>Punto de agua fría y caliente</v>
      </c>
      <c r="F49" s="9" t="str">
        <f aca="false">INDEX(Partidas!$C$2:$C$99,MATCH(D49,Partidas!$A$2:$A$99,0))</f>
        <v>ud</v>
      </c>
      <c r="G49" s="10" t="n">
        <v>0</v>
      </c>
      <c r="H49" s="10" t="n">
        <v>4.5</v>
      </c>
      <c r="I49" s="11" t="s">
        <v>478</v>
      </c>
    </row>
    <row r="50" customFormat="false" ht="15" hidden="false" customHeight="false" outlineLevel="0" collapsed="false">
      <c r="A50" s="0" t="s">
        <v>475</v>
      </c>
      <c r="B50" s="0" t="s">
        <v>476</v>
      </c>
      <c r="C50" s="0" t="s">
        <v>468</v>
      </c>
      <c r="D50" s="0" t="s">
        <v>275</v>
      </c>
      <c r="E50" s="9" t="str">
        <f aca="false">INDEX(Partidas!$D$2:$D$99,MATCH(D50,Partidas!$A$2:$A$99,0))</f>
        <v>Punto de desagüe</v>
      </c>
      <c r="F50" s="9" t="str">
        <f aca="false">INDEX(Partidas!$C$2:$C$99,MATCH(D50,Partidas!$A$2:$A$99,0))</f>
        <v>ud</v>
      </c>
      <c r="G50" s="10" t="n">
        <v>0</v>
      </c>
      <c r="H50" s="10" t="n">
        <v>3</v>
      </c>
    </row>
    <row r="51" customFormat="false" ht="15" hidden="false" customHeight="false" outlineLevel="0" collapsed="false">
      <c r="A51" s="0" t="s">
        <v>475</v>
      </c>
      <c r="B51" s="0" t="s">
        <v>476</v>
      </c>
      <c r="C51" s="0" t="s">
        <v>468</v>
      </c>
      <c r="D51" s="0" t="s">
        <v>279</v>
      </c>
      <c r="E51" s="9" t="str">
        <f aca="false">INDEX(Partidas!$D$2:$D$99,MATCH(D51,Partidas!$A$2:$A$99,0))</f>
        <v>Bote sifónico</v>
      </c>
      <c r="F51" s="9" t="str">
        <f aca="false">INDEX(Partidas!$C$2:$C$99,MATCH(D51,Partidas!$A$2:$A$99,0))</f>
        <v>ud</v>
      </c>
      <c r="G51" s="10" t="n">
        <v>0</v>
      </c>
      <c r="H51" s="10" t="n">
        <v>1</v>
      </c>
    </row>
    <row r="52" customFormat="false" ht="15" hidden="false" customHeight="false" outlineLevel="0" collapsed="false">
      <c r="A52" s="0" t="s">
        <v>475</v>
      </c>
      <c r="B52" s="0" t="s">
        <v>476</v>
      </c>
      <c r="C52" s="0" t="s">
        <v>468</v>
      </c>
      <c r="D52" s="0" t="s">
        <v>283</v>
      </c>
      <c r="E52" s="9" t="str">
        <f aca="false">INDEX(Partidas!$D$2:$D$99,MATCH(D52,Partidas!$A$2:$A$99,0))</f>
        <v>Llave de corte por estancia húmeda</v>
      </c>
      <c r="F52" s="9" t="str">
        <f aca="false">INDEX(Partidas!$C$2:$C$99,MATCH(D52,Partidas!$A$2:$A$99,0))</f>
        <v>ud</v>
      </c>
      <c r="G52" s="10" t="n">
        <v>0</v>
      </c>
      <c r="H52" s="10" t="n">
        <v>1</v>
      </c>
    </row>
    <row r="53" customFormat="false" ht="15" hidden="false" customHeight="false" outlineLevel="0" collapsed="false">
      <c r="A53" s="0" t="s">
        <v>475</v>
      </c>
      <c r="B53" s="0" t="s">
        <v>476</v>
      </c>
      <c r="C53" s="0" t="s">
        <v>468</v>
      </c>
      <c r="D53" s="0" t="s">
        <v>289</v>
      </c>
      <c r="E53" s="9" t="str">
        <f aca="false">INDEX(Partidas!$D$2:$D$99,MATCH(D53,Partidas!$A$2:$A$99,0))</f>
        <v>Plato de ducha</v>
      </c>
      <c r="F53" s="9" t="str">
        <f aca="false">INDEX(Partidas!$C$2:$C$99,MATCH(D53,Partidas!$A$2:$A$99,0))</f>
        <v>ud</v>
      </c>
      <c r="G53" s="10" t="n">
        <v>0</v>
      </c>
      <c r="H53" s="10" t="n">
        <v>1</v>
      </c>
    </row>
    <row r="54" customFormat="false" ht="15" hidden="false" customHeight="false" outlineLevel="0" collapsed="false">
      <c r="A54" s="0" t="s">
        <v>475</v>
      </c>
      <c r="B54" s="0" t="s">
        <v>476</v>
      </c>
      <c r="C54" s="0" t="s">
        <v>468</v>
      </c>
      <c r="D54" s="0" t="s">
        <v>297</v>
      </c>
      <c r="E54" s="9" t="str">
        <f aca="false">INDEX(Partidas!$D$2:$D$99,MATCH(D54,Partidas!$A$2:$A$99,0))</f>
        <v>Inodoro suspendido con bastidor</v>
      </c>
      <c r="F54" s="9" t="str">
        <f aca="false">INDEX(Partidas!$C$2:$C$99,MATCH(D54,Partidas!$A$2:$A$99,0))</f>
        <v>ud</v>
      </c>
      <c r="G54" s="10" t="n">
        <v>0</v>
      </c>
      <c r="H54" s="10" t="n">
        <v>1</v>
      </c>
    </row>
    <row r="55" customFormat="false" ht="15" hidden="false" customHeight="false" outlineLevel="0" collapsed="false">
      <c r="A55" s="0" t="s">
        <v>475</v>
      </c>
      <c r="B55" s="0" t="s">
        <v>476</v>
      </c>
      <c r="C55" s="0" t="s">
        <v>468</v>
      </c>
      <c r="D55" s="0" t="s">
        <v>301</v>
      </c>
      <c r="E55" s="9" t="str">
        <f aca="false">INDEX(Partidas!$D$2:$D$99,MATCH(D55,Partidas!$A$2:$A$99,0))</f>
        <v>Mueble de baño con lavabo</v>
      </c>
      <c r="F55" s="9" t="str">
        <f aca="false">INDEX(Partidas!$C$2:$C$99,MATCH(D55,Partidas!$A$2:$A$99,0))</f>
        <v>ud</v>
      </c>
      <c r="G55" s="10" t="n">
        <v>0</v>
      </c>
      <c r="H55" s="10" t="n">
        <v>1</v>
      </c>
    </row>
    <row r="56" customFormat="false" ht="15" hidden="false" customHeight="false" outlineLevel="0" collapsed="false">
      <c r="A56" s="0" t="s">
        <v>475</v>
      </c>
      <c r="B56" s="0" t="s">
        <v>476</v>
      </c>
      <c r="C56" s="0" t="s">
        <v>468</v>
      </c>
      <c r="D56" s="0" t="s">
        <v>305</v>
      </c>
      <c r="E56" s="9" t="str">
        <f aca="false">INDEX(Partidas!$D$2:$D$99,MATCH(D56,Partidas!$A$2:$A$99,0))</f>
        <v>Grifería de lavabo</v>
      </c>
      <c r="F56" s="9" t="str">
        <f aca="false">INDEX(Partidas!$C$2:$C$99,MATCH(D56,Partidas!$A$2:$A$99,0))</f>
        <v>ud</v>
      </c>
      <c r="G56" s="10" t="n">
        <v>0</v>
      </c>
      <c r="H56" s="10" t="n">
        <v>1</v>
      </c>
    </row>
    <row r="57" customFormat="false" ht="15" hidden="false" customHeight="false" outlineLevel="0" collapsed="false">
      <c r="A57" s="0" t="s">
        <v>475</v>
      </c>
      <c r="B57" s="0" t="s">
        <v>476</v>
      </c>
      <c r="C57" s="0" t="s">
        <v>468</v>
      </c>
      <c r="D57" s="0" t="s">
        <v>309</v>
      </c>
      <c r="E57" s="9" t="str">
        <f aca="false">INDEX(Partidas!$D$2:$D$99,MATCH(D57,Partidas!$A$2:$A$99,0))</f>
        <v>Grifería termostática de ducha o bañera</v>
      </c>
      <c r="F57" s="9" t="str">
        <f aca="false">INDEX(Partidas!$C$2:$C$99,MATCH(D57,Partidas!$A$2:$A$99,0))</f>
        <v>ud</v>
      </c>
      <c r="G57" s="10" t="n">
        <v>0</v>
      </c>
      <c r="H57" s="10" t="n">
        <v>1</v>
      </c>
    </row>
    <row r="58" customFormat="false" ht="15" hidden="false" customHeight="false" outlineLevel="0" collapsed="false">
      <c r="A58" s="0" t="s">
        <v>475</v>
      </c>
      <c r="B58" s="0" t="s">
        <v>476</v>
      </c>
      <c r="C58" s="0" t="s">
        <v>468</v>
      </c>
      <c r="D58" s="0" t="s">
        <v>313</v>
      </c>
      <c r="E58" s="9" t="str">
        <f aca="false">INDEX(Partidas!$D$2:$D$99,MATCH(D58,Partidas!$A$2:$A$99,0))</f>
        <v>Mampara fija de ducha</v>
      </c>
      <c r="F58" s="9" t="str">
        <f aca="false">INDEX(Partidas!$C$2:$C$99,MATCH(D58,Partidas!$A$2:$A$99,0))</f>
        <v>ud</v>
      </c>
      <c r="G58" s="10" t="n">
        <v>0</v>
      </c>
      <c r="H58" s="10" t="n">
        <v>1</v>
      </c>
    </row>
    <row r="59" customFormat="false" ht="15" hidden="false" customHeight="false" outlineLevel="0" collapsed="false">
      <c r="A59" s="0" t="s">
        <v>475</v>
      </c>
      <c r="B59" s="0" t="s">
        <v>476</v>
      </c>
      <c r="C59" s="0" t="s">
        <v>468</v>
      </c>
      <c r="D59" s="0" t="s">
        <v>321</v>
      </c>
      <c r="E59" s="9" t="str">
        <f aca="false">INDEX(Partidas!$D$2:$D$99,MATCH(D59,Partidas!$A$2:$A$99,0))</f>
        <v>Espejo de baño a medida</v>
      </c>
      <c r="F59" s="9" t="str">
        <f aca="false">INDEX(Partidas!$C$2:$C$99,MATCH(D59,Partidas!$A$2:$A$99,0))</f>
        <v>m2</v>
      </c>
      <c r="G59" s="10" t="n">
        <v>0</v>
      </c>
      <c r="H59" s="10" t="n">
        <v>0.8</v>
      </c>
    </row>
    <row r="60" customFormat="false" ht="15" hidden="false" customHeight="false" outlineLevel="0" collapsed="false">
      <c r="A60" s="0" t="s">
        <v>475</v>
      </c>
      <c r="B60" s="0" t="s">
        <v>476</v>
      </c>
      <c r="C60" s="0" t="s">
        <v>468</v>
      </c>
      <c r="D60" s="0" t="s">
        <v>325</v>
      </c>
      <c r="E60" s="9" t="str">
        <f aca="false">INDEX(Partidas!$D$2:$D$99,MATCH(D60,Partidas!$A$2:$A$99,0))</f>
        <v>Toallero eléctrico</v>
      </c>
      <c r="F60" s="9" t="str">
        <f aca="false">INDEX(Partidas!$C$2:$C$99,MATCH(D60,Partidas!$A$2:$A$99,0))</f>
        <v>ud</v>
      </c>
      <c r="G60" s="10" t="n">
        <v>0</v>
      </c>
      <c r="H60" s="10" t="n">
        <v>1</v>
      </c>
    </row>
    <row r="61" customFormat="false" ht="15" hidden="false" customHeight="false" outlineLevel="0" collapsed="false">
      <c r="A61" s="0" t="s">
        <v>475</v>
      </c>
      <c r="B61" s="0" t="s">
        <v>476</v>
      </c>
      <c r="C61" s="0" t="s">
        <v>468</v>
      </c>
      <c r="D61" s="0" t="s">
        <v>333</v>
      </c>
      <c r="E61" s="9" t="str">
        <f aca="false">INDEX(Partidas!$D$2:$D$99,MATCH(D61,Partidas!$A$2:$A$99,0))</f>
        <v>Juego de accesorios de baño</v>
      </c>
      <c r="F61" s="9" t="str">
        <f aca="false">INDEX(Partidas!$C$2:$C$99,MATCH(D61,Partidas!$A$2:$A$99,0))</f>
        <v>ud</v>
      </c>
      <c r="G61" s="10" t="n">
        <v>0</v>
      </c>
      <c r="H61" s="10" t="n">
        <v>1</v>
      </c>
    </row>
    <row r="62" customFormat="false" ht="15" hidden="false" customHeight="false" outlineLevel="0" collapsed="false">
      <c r="A62" s="0" t="s">
        <v>475</v>
      </c>
      <c r="B62" s="0" t="s">
        <v>476</v>
      </c>
      <c r="C62" s="0" t="s">
        <v>468</v>
      </c>
      <c r="D62" s="0" t="s">
        <v>350</v>
      </c>
      <c r="E62" s="9" t="str">
        <f aca="false">INDEX(Partidas!$D$2:$D$99,MATCH(D62,Partidas!$A$2:$A$99,0))</f>
        <v>Punto de luz sencillo</v>
      </c>
      <c r="F62" s="9" t="str">
        <f aca="false">INDEX(Partidas!$C$2:$C$99,MATCH(D62,Partidas!$A$2:$A$99,0))</f>
        <v>ud</v>
      </c>
      <c r="G62" s="10" t="n">
        <v>0</v>
      </c>
      <c r="H62" s="10" t="n">
        <v>1</v>
      </c>
    </row>
    <row r="63" customFormat="false" ht="15" hidden="false" customHeight="false" outlineLevel="0" collapsed="false">
      <c r="A63" s="0" t="s">
        <v>475</v>
      </c>
      <c r="B63" s="0" t="s">
        <v>476</v>
      </c>
      <c r="C63" s="0" t="s">
        <v>468</v>
      </c>
      <c r="D63" s="0" t="s">
        <v>354</v>
      </c>
      <c r="E63" s="9" t="str">
        <f aca="false">INDEX(Partidas!$D$2:$D$99,MATCH(D63,Partidas!$A$2:$A$99,0))</f>
        <v>Punto de luz adicional en el mismo circuito</v>
      </c>
      <c r="F63" s="9" t="str">
        <f aca="false">INDEX(Partidas!$C$2:$C$99,MATCH(D63,Partidas!$A$2:$A$99,0))</f>
        <v>ud</v>
      </c>
      <c r="G63" s="10" t="n">
        <v>0</v>
      </c>
      <c r="H63" s="10" t="n">
        <v>1</v>
      </c>
    </row>
    <row r="64" customFormat="false" ht="15" hidden="false" customHeight="false" outlineLevel="0" collapsed="false">
      <c r="A64" s="0" t="s">
        <v>475</v>
      </c>
      <c r="B64" s="0" t="s">
        <v>476</v>
      </c>
      <c r="C64" s="0" t="s">
        <v>468</v>
      </c>
      <c r="D64" s="0" t="s">
        <v>366</v>
      </c>
      <c r="E64" s="9" t="str">
        <f aca="false">INDEX(Partidas!$D$2:$D$99,MATCH(D64,Partidas!$A$2:$A$99,0))</f>
        <v>Toma de corriente</v>
      </c>
      <c r="F64" s="9" t="str">
        <f aca="false">INDEX(Partidas!$C$2:$C$99,MATCH(D64,Partidas!$A$2:$A$99,0))</f>
        <v>ud</v>
      </c>
      <c r="G64" s="10" t="n">
        <v>0</v>
      </c>
      <c r="H64" s="10" t="n">
        <v>2</v>
      </c>
    </row>
    <row r="65" customFormat="false" ht="15" hidden="false" customHeight="false" outlineLevel="0" collapsed="false">
      <c r="A65" s="0" t="s">
        <v>475</v>
      </c>
      <c r="B65" s="0" t="s">
        <v>476</v>
      </c>
      <c r="C65" s="0" t="s">
        <v>468</v>
      </c>
      <c r="D65" s="0" t="s">
        <v>420</v>
      </c>
      <c r="E65" s="9" t="str">
        <f aca="false">INDEX(Partidas!$D$2:$D$99,MATCH(D65,Partidas!$A$2:$A$99,0))</f>
        <v>Extractor con conducto</v>
      </c>
      <c r="F65" s="9" t="str">
        <f aca="false">INDEX(Partidas!$C$2:$C$99,MATCH(D65,Partidas!$A$2:$A$99,0))</f>
        <v>ud</v>
      </c>
      <c r="G65" s="10" t="n">
        <v>0</v>
      </c>
      <c r="H65" s="10" t="n">
        <v>1</v>
      </c>
    </row>
    <row r="66" customFormat="false" ht="15" hidden="false" customHeight="false" outlineLevel="0" collapsed="false">
      <c r="A66" s="0" t="s">
        <v>475</v>
      </c>
      <c r="B66" s="0" t="s">
        <v>476</v>
      </c>
      <c r="C66" s="0" t="s">
        <v>468</v>
      </c>
      <c r="D66" s="0" t="s">
        <v>247</v>
      </c>
      <c r="E66" s="9" t="str">
        <f aca="false">INDEX(Partidas!$D$2:$D$99,MATCH(D66,Partidas!$A$2:$A$99,0))</f>
        <v>Puerta de paso abatible, altura estándar</v>
      </c>
      <c r="F66" s="9" t="str">
        <f aca="false">INDEX(Partidas!$C$2:$C$99,MATCH(D66,Partidas!$A$2:$A$99,0))</f>
        <v>ud</v>
      </c>
      <c r="G66" s="10" t="n">
        <v>0</v>
      </c>
      <c r="H66" s="10" t="n">
        <v>1</v>
      </c>
    </row>
    <row r="67" customFormat="false" ht="15" hidden="false" customHeight="false" outlineLevel="0" collapsed="false">
      <c r="A67" s="0" t="s">
        <v>479</v>
      </c>
      <c r="B67" s="0" t="s">
        <v>480</v>
      </c>
      <c r="C67" s="0" t="s">
        <v>468</v>
      </c>
      <c r="D67" s="0" t="s">
        <v>180</v>
      </c>
      <c r="E67" s="9" t="str">
        <f aca="false">INDEX(Partidas!$D$2:$D$99,MATCH(D67,Partidas!$A$2:$A$99,0))</f>
        <v>Impermeabilización de suelo en zona húmeda</v>
      </c>
      <c r="F67" s="9" t="str">
        <f aca="false">INDEX(Partidas!$C$2:$C$99,MATCH(D67,Partidas!$A$2:$A$99,0))</f>
        <v>m2</v>
      </c>
      <c r="G67" s="10" t="n">
        <v>1</v>
      </c>
      <c r="H67" s="10" t="n">
        <v>0</v>
      </c>
    </row>
    <row r="68" customFormat="false" ht="15" hidden="false" customHeight="false" outlineLevel="0" collapsed="false">
      <c r="A68" s="0" t="s">
        <v>479</v>
      </c>
      <c r="B68" s="0" t="s">
        <v>480</v>
      </c>
      <c r="C68" s="0" t="s">
        <v>468</v>
      </c>
      <c r="D68" s="0" t="s">
        <v>213</v>
      </c>
      <c r="E68" s="9" t="str">
        <f aca="false">INDEX(Partidas!$D$2:$D$99,MATCH(D68,Partidas!$A$2:$A$99,0))</f>
        <v>Solado de gres porcelánico</v>
      </c>
      <c r="F68" s="9" t="str">
        <f aca="false">INDEX(Partidas!$C$2:$C$99,MATCH(D68,Partidas!$A$2:$A$99,0))</f>
        <v>m2</v>
      </c>
      <c r="G68" s="10" t="n">
        <v>1</v>
      </c>
      <c r="H68" s="10" t="n">
        <v>0</v>
      </c>
    </row>
    <row r="69" customFormat="false" ht="15" hidden="false" customHeight="false" outlineLevel="0" collapsed="false">
      <c r="A69" s="0" t="s">
        <v>479</v>
      </c>
      <c r="B69" s="0" t="s">
        <v>480</v>
      </c>
      <c r="C69" s="0" t="s">
        <v>468</v>
      </c>
      <c r="D69" s="0" t="s">
        <v>190</v>
      </c>
      <c r="E69" s="9" t="str">
        <f aca="false">INDEX(Partidas!$D$2:$D$99,MATCH(D69,Partidas!$A$2:$A$99,0))</f>
        <v>Alicatado de gres porcelánico</v>
      </c>
      <c r="F69" s="9" t="str">
        <f aca="false">INDEX(Partidas!$C$2:$C$99,MATCH(D69,Partidas!$A$2:$A$99,0))</f>
        <v>m2</v>
      </c>
      <c r="G69" s="10" t="n">
        <v>3.7</v>
      </c>
      <c r="H69" s="10" t="n">
        <v>0</v>
      </c>
    </row>
    <row r="70" customFormat="false" ht="15" hidden="false" customHeight="false" outlineLevel="0" collapsed="false">
      <c r="A70" s="0" t="s">
        <v>479</v>
      </c>
      <c r="B70" s="0" t="s">
        <v>480</v>
      </c>
      <c r="C70" s="0" t="s">
        <v>468</v>
      </c>
      <c r="D70" s="0" t="s">
        <v>164</v>
      </c>
      <c r="E70" s="9" t="str">
        <f aca="false">INDEX(Partidas!$D$2:$D$99,MATCH(D70,Partidas!$A$2:$A$99,0))</f>
        <v>Falso techo continuo PYL hidrófugo</v>
      </c>
      <c r="F70" s="9" t="str">
        <f aca="false">INDEX(Partidas!$C$2:$C$99,MATCH(D70,Partidas!$A$2:$A$99,0))</f>
        <v>m2</v>
      </c>
      <c r="G70" s="10" t="n">
        <v>1</v>
      </c>
      <c r="H70" s="10" t="n">
        <v>0</v>
      </c>
    </row>
    <row r="71" customFormat="false" ht="15" hidden="false" customHeight="false" outlineLevel="0" collapsed="false">
      <c r="A71" s="0" t="s">
        <v>479</v>
      </c>
      <c r="B71" s="0" t="s">
        <v>480</v>
      </c>
      <c r="C71" s="0" t="s">
        <v>468</v>
      </c>
      <c r="D71" s="0" t="s">
        <v>431</v>
      </c>
      <c r="E71" s="9" t="str">
        <f aca="false">INDEX(Partidas!$D$2:$D$99,MATCH(D71,Partidas!$A$2:$A$99,0))</f>
        <v>Pintura plástica lisa en techos</v>
      </c>
      <c r="F71" s="9" t="str">
        <f aca="false">INDEX(Partidas!$C$2:$C$99,MATCH(D71,Partidas!$A$2:$A$99,0))</f>
        <v>m2</v>
      </c>
      <c r="G71" s="10" t="n">
        <v>1</v>
      </c>
      <c r="H71" s="10" t="n">
        <v>0</v>
      </c>
    </row>
    <row r="72" customFormat="false" ht="15" hidden="false" customHeight="false" outlineLevel="0" collapsed="false">
      <c r="A72" s="0" t="s">
        <v>479</v>
      </c>
      <c r="B72" s="0" t="s">
        <v>480</v>
      </c>
      <c r="C72" s="0" t="s">
        <v>468</v>
      </c>
      <c r="D72" s="0" t="s">
        <v>271</v>
      </c>
      <c r="E72" s="9" t="str">
        <f aca="false">INDEX(Partidas!$D$2:$D$99,MATCH(D72,Partidas!$A$2:$A$99,0))</f>
        <v>Punto de agua fría y caliente</v>
      </c>
      <c r="F72" s="9" t="str">
        <f aca="false">INDEX(Partidas!$C$2:$C$99,MATCH(D72,Partidas!$A$2:$A$99,0))</f>
        <v>ud</v>
      </c>
      <c r="G72" s="10" t="n">
        <v>0</v>
      </c>
      <c r="H72" s="10" t="n">
        <v>2.5</v>
      </c>
    </row>
    <row r="73" customFormat="false" ht="15" hidden="false" customHeight="false" outlineLevel="0" collapsed="false">
      <c r="A73" s="0" t="s">
        <v>479</v>
      </c>
      <c r="B73" s="0" t="s">
        <v>480</v>
      </c>
      <c r="C73" s="0" t="s">
        <v>468</v>
      </c>
      <c r="D73" s="0" t="s">
        <v>275</v>
      </c>
      <c r="E73" s="9" t="str">
        <f aca="false">INDEX(Partidas!$D$2:$D$99,MATCH(D73,Partidas!$A$2:$A$99,0))</f>
        <v>Punto de desagüe</v>
      </c>
      <c r="F73" s="9" t="str">
        <f aca="false">INDEX(Partidas!$C$2:$C$99,MATCH(D73,Partidas!$A$2:$A$99,0))</f>
        <v>ud</v>
      </c>
      <c r="G73" s="10" t="n">
        <v>0</v>
      </c>
      <c r="H73" s="10" t="n">
        <v>2</v>
      </c>
    </row>
    <row r="74" customFormat="false" ht="15" hidden="false" customHeight="false" outlineLevel="0" collapsed="false">
      <c r="A74" s="0" t="s">
        <v>479</v>
      </c>
      <c r="B74" s="0" t="s">
        <v>480</v>
      </c>
      <c r="C74" s="0" t="s">
        <v>468</v>
      </c>
      <c r="D74" s="0" t="s">
        <v>283</v>
      </c>
      <c r="E74" s="9" t="str">
        <f aca="false">INDEX(Partidas!$D$2:$D$99,MATCH(D74,Partidas!$A$2:$A$99,0))</f>
        <v>Llave de corte por estancia húmeda</v>
      </c>
      <c r="F74" s="9" t="str">
        <f aca="false">INDEX(Partidas!$C$2:$C$99,MATCH(D74,Partidas!$A$2:$A$99,0))</f>
        <v>ud</v>
      </c>
      <c r="G74" s="10" t="n">
        <v>0</v>
      </c>
      <c r="H74" s="10" t="n">
        <v>1</v>
      </c>
    </row>
    <row r="75" customFormat="false" ht="15" hidden="false" customHeight="false" outlineLevel="0" collapsed="false">
      <c r="A75" s="0" t="s">
        <v>479</v>
      </c>
      <c r="B75" s="0" t="s">
        <v>480</v>
      </c>
      <c r="C75" s="0" t="s">
        <v>468</v>
      </c>
      <c r="D75" s="0" t="s">
        <v>297</v>
      </c>
      <c r="E75" s="9" t="str">
        <f aca="false">INDEX(Partidas!$D$2:$D$99,MATCH(D75,Partidas!$A$2:$A$99,0))</f>
        <v>Inodoro suspendido con bastidor</v>
      </c>
      <c r="F75" s="9" t="str">
        <f aca="false">INDEX(Partidas!$C$2:$C$99,MATCH(D75,Partidas!$A$2:$A$99,0))</f>
        <v>ud</v>
      </c>
      <c r="G75" s="10" t="n">
        <v>0</v>
      </c>
      <c r="H75" s="10" t="n">
        <v>1</v>
      </c>
    </row>
    <row r="76" customFormat="false" ht="15" hidden="false" customHeight="false" outlineLevel="0" collapsed="false">
      <c r="A76" s="0" t="s">
        <v>479</v>
      </c>
      <c r="B76" s="0" t="s">
        <v>480</v>
      </c>
      <c r="C76" s="0" t="s">
        <v>468</v>
      </c>
      <c r="D76" s="0" t="s">
        <v>301</v>
      </c>
      <c r="E76" s="9" t="str">
        <f aca="false">INDEX(Partidas!$D$2:$D$99,MATCH(D76,Partidas!$A$2:$A$99,0))</f>
        <v>Mueble de baño con lavabo</v>
      </c>
      <c r="F76" s="9" t="str">
        <f aca="false">INDEX(Partidas!$C$2:$C$99,MATCH(D76,Partidas!$A$2:$A$99,0))</f>
        <v>ud</v>
      </c>
      <c r="G76" s="10" t="n">
        <v>0</v>
      </c>
      <c r="H76" s="10" t="n">
        <v>1</v>
      </c>
    </row>
    <row r="77" customFormat="false" ht="15" hidden="false" customHeight="false" outlineLevel="0" collapsed="false">
      <c r="A77" s="0" t="s">
        <v>479</v>
      </c>
      <c r="B77" s="0" t="s">
        <v>480</v>
      </c>
      <c r="C77" s="0" t="s">
        <v>468</v>
      </c>
      <c r="D77" s="0" t="s">
        <v>305</v>
      </c>
      <c r="E77" s="9" t="str">
        <f aca="false">INDEX(Partidas!$D$2:$D$99,MATCH(D77,Partidas!$A$2:$A$99,0))</f>
        <v>Grifería de lavabo</v>
      </c>
      <c r="F77" s="9" t="str">
        <f aca="false">INDEX(Partidas!$C$2:$C$99,MATCH(D77,Partidas!$A$2:$A$99,0))</f>
        <v>ud</v>
      </c>
      <c r="G77" s="10" t="n">
        <v>0</v>
      </c>
      <c r="H77" s="10" t="n">
        <v>1</v>
      </c>
    </row>
    <row r="78" customFormat="false" ht="15" hidden="false" customHeight="false" outlineLevel="0" collapsed="false">
      <c r="A78" s="0" t="s">
        <v>479</v>
      </c>
      <c r="B78" s="0" t="s">
        <v>480</v>
      </c>
      <c r="C78" s="0" t="s">
        <v>468</v>
      </c>
      <c r="D78" s="0" t="s">
        <v>321</v>
      </c>
      <c r="E78" s="9" t="str">
        <f aca="false">INDEX(Partidas!$D$2:$D$99,MATCH(D78,Partidas!$A$2:$A$99,0))</f>
        <v>Espejo de baño a medida</v>
      </c>
      <c r="F78" s="9" t="str">
        <f aca="false">INDEX(Partidas!$C$2:$C$99,MATCH(D78,Partidas!$A$2:$A$99,0))</f>
        <v>m2</v>
      </c>
      <c r="G78" s="10" t="n">
        <v>0</v>
      </c>
      <c r="H78" s="10" t="n">
        <v>0.5</v>
      </c>
    </row>
    <row r="79" customFormat="false" ht="15" hidden="false" customHeight="false" outlineLevel="0" collapsed="false">
      <c r="A79" s="0" t="s">
        <v>479</v>
      </c>
      <c r="B79" s="0" t="s">
        <v>480</v>
      </c>
      <c r="C79" s="0" t="s">
        <v>468</v>
      </c>
      <c r="D79" s="0" t="s">
        <v>333</v>
      </c>
      <c r="E79" s="9" t="str">
        <f aca="false">INDEX(Partidas!$D$2:$D$99,MATCH(D79,Partidas!$A$2:$A$99,0))</f>
        <v>Juego de accesorios de baño</v>
      </c>
      <c r="F79" s="9" t="str">
        <f aca="false">INDEX(Partidas!$C$2:$C$99,MATCH(D79,Partidas!$A$2:$A$99,0))</f>
        <v>ud</v>
      </c>
      <c r="G79" s="10" t="n">
        <v>0</v>
      </c>
      <c r="H79" s="10" t="n">
        <v>1</v>
      </c>
    </row>
    <row r="80" customFormat="false" ht="15" hidden="false" customHeight="false" outlineLevel="0" collapsed="false">
      <c r="A80" s="0" t="s">
        <v>479</v>
      </c>
      <c r="B80" s="0" t="s">
        <v>480</v>
      </c>
      <c r="C80" s="0" t="s">
        <v>468</v>
      </c>
      <c r="D80" s="0" t="s">
        <v>350</v>
      </c>
      <c r="E80" s="9" t="str">
        <f aca="false">INDEX(Partidas!$D$2:$D$99,MATCH(D80,Partidas!$A$2:$A$99,0))</f>
        <v>Punto de luz sencillo</v>
      </c>
      <c r="F80" s="9" t="str">
        <f aca="false">INDEX(Partidas!$C$2:$C$99,MATCH(D80,Partidas!$A$2:$A$99,0))</f>
        <v>ud</v>
      </c>
      <c r="G80" s="10" t="n">
        <v>0</v>
      </c>
      <c r="H80" s="10" t="n">
        <v>1</v>
      </c>
    </row>
    <row r="81" customFormat="false" ht="15" hidden="false" customHeight="false" outlineLevel="0" collapsed="false">
      <c r="A81" s="0" t="s">
        <v>479</v>
      </c>
      <c r="B81" s="0" t="s">
        <v>480</v>
      </c>
      <c r="C81" s="0" t="s">
        <v>468</v>
      </c>
      <c r="D81" s="0" t="s">
        <v>366</v>
      </c>
      <c r="E81" s="9" t="str">
        <f aca="false">INDEX(Partidas!$D$2:$D$99,MATCH(D81,Partidas!$A$2:$A$99,0))</f>
        <v>Toma de corriente</v>
      </c>
      <c r="F81" s="9" t="str">
        <f aca="false">INDEX(Partidas!$C$2:$C$99,MATCH(D81,Partidas!$A$2:$A$99,0))</f>
        <v>ud</v>
      </c>
      <c r="G81" s="10" t="n">
        <v>0</v>
      </c>
      <c r="H81" s="10" t="n">
        <v>1</v>
      </c>
    </row>
    <row r="82" customFormat="false" ht="15" hidden="false" customHeight="false" outlineLevel="0" collapsed="false">
      <c r="A82" s="0" t="s">
        <v>479</v>
      </c>
      <c r="B82" s="0" t="s">
        <v>480</v>
      </c>
      <c r="C82" s="0" t="s">
        <v>468</v>
      </c>
      <c r="D82" s="0" t="s">
        <v>420</v>
      </c>
      <c r="E82" s="9" t="str">
        <f aca="false">INDEX(Partidas!$D$2:$D$99,MATCH(D82,Partidas!$A$2:$A$99,0))</f>
        <v>Extractor con conducto</v>
      </c>
      <c r="F82" s="9" t="str">
        <f aca="false">INDEX(Partidas!$C$2:$C$99,MATCH(D82,Partidas!$A$2:$A$99,0))</f>
        <v>ud</v>
      </c>
      <c r="G82" s="10" t="n">
        <v>0</v>
      </c>
      <c r="H82" s="10" t="n">
        <v>1</v>
      </c>
    </row>
    <row r="83" customFormat="false" ht="15" hidden="false" customHeight="false" outlineLevel="0" collapsed="false">
      <c r="A83" s="0" t="s">
        <v>479</v>
      </c>
      <c r="B83" s="0" t="s">
        <v>480</v>
      </c>
      <c r="C83" s="0" t="s">
        <v>468</v>
      </c>
      <c r="D83" s="0" t="s">
        <v>247</v>
      </c>
      <c r="E83" s="9" t="str">
        <f aca="false">INDEX(Partidas!$D$2:$D$99,MATCH(D83,Partidas!$A$2:$A$99,0))</f>
        <v>Puerta de paso abatible, altura estándar</v>
      </c>
      <c r="F83" s="9" t="str">
        <f aca="false">INDEX(Partidas!$C$2:$C$99,MATCH(D83,Partidas!$A$2:$A$99,0))</f>
        <v>ud</v>
      </c>
      <c r="G83" s="10" t="n">
        <v>0</v>
      </c>
      <c r="H83" s="10" t="n">
        <v>1</v>
      </c>
    </row>
    <row r="84" customFormat="false" ht="15" hidden="false" customHeight="false" outlineLevel="0" collapsed="false">
      <c r="A84" s="0" t="s">
        <v>60</v>
      </c>
      <c r="B84" s="0" t="s">
        <v>61</v>
      </c>
      <c r="C84" s="0" t="s">
        <v>468</v>
      </c>
      <c r="D84" s="0" t="s">
        <v>213</v>
      </c>
      <c r="E84" s="9" t="str">
        <f aca="false">INDEX(Partidas!$D$2:$D$99,MATCH(D84,Partidas!$A$2:$A$99,0))</f>
        <v>Solado de gres porcelánico</v>
      </c>
      <c r="F84" s="9" t="str">
        <f aca="false">INDEX(Partidas!$C$2:$C$99,MATCH(D84,Partidas!$A$2:$A$99,0))</f>
        <v>m2</v>
      </c>
      <c r="G84" s="10" t="n">
        <v>1</v>
      </c>
      <c r="H84" s="10" t="n">
        <v>0</v>
      </c>
    </row>
    <row r="85" customFormat="false" ht="15" hidden="false" customHeight="false" outlineLevel="0" collapsed="false">
      <c r="A85" s="0" t="s">
        <v>60</v>
      </c>
      <c r="B85" s="0" t="s">
        <v>61</v>
      </c>
      <c r="C85" s="0" t="s">
        <v>468</v>
      </c>
      <c r="D85" s="0" t="s">
        <v>190</v>
      </c>
      <c r="E85" s="9" t="str">
        <f aca="false">INDEX(Partidas!$D$2:$D$99,MATCH(D85,Partidas!$A$2:$A$99,0))</f>
        <v>Alicatado de gres porcelánico</v>
      </c>
      <c r="F85" s="9" t="str">
        <f aca="false">INDEX(Partidas!$C$2:$C$99,MATCH(D85,Partidas!$A$2:$A$99,0))</f>
        <v>m2</v>
      </c>
      <c r="G85" s="10" t="n">
        <v>0.6</v>
      </c>
      <c r="H85" s="10" t="n">
        <v>0</v>
      </c>
    </row>
    <row r="86" customFormat="false" ht="15" hidden="false" customHeight="false" outlineLevel="0" collapsed="false">
      <c r="A86" s="0" t="s">
        <v>60</v>
      </c>
      <c r="B86" s="0" t="s">
        <v>61</v>
      </c>
      <c r="C86" s="0" t="s">
        <v>468</v>
      </c>
      <c r="D86" s="0" t="s">
        <v>164</v>
      </c>
      <c r="E86" s="9" t="str">
        <f aca="false">INDEX(Partidas!$D$2:$D$99,MATCH(D86,Partidas!$A$2:$A$99,0))</f>
        <v>Falso techo continuo PYL hidrófugo</v>
      </c>
      <c r="F86" s="9" t="str">
        <f aca="false">INDEX(Partidas!$C$2:$C$99,MATCH(D86,Partidas!$A$2:$A$99,0))</f>
        <v>m2</v>
      </c>
      <c r="G86" s="10" t="n">
        <v>1</v>
      </c>
      <c r="H86" s="10" t="n">
        <v>0</v>
      </c>
    </row>
    <row r="87" customFormat="false" ht="15" hidden="false" customHeight="false" outlineLevel="0" collapsed="false">
      <c r="A87" s="0" t="s">
        <v>60</v>
      </c>
      <c r="B87" s="0" t="s">
        <v>61</v>
      </c>
      <c r="C87" s="0" t="s">
        <v>468</v>
      </c>
      <c r="D87" s="0" t="s">
        <v>427</v>
      </c>
      <c r="E87" s="9" t="str">
        <f aca="false">INDEX(Partidas!$D$2:$D$99,MATCH(D87,Partidas!$A$2:$A$99,0))</f>
        <v>Pintura plástica lisa en paredes</v>
      </c>
      <c r="F87" s="9" t="str">
        <f aca="false">INDEX(Partidas!$C$2:$C$99,MATCH(D87,Partidas!$A$2:$A$99,0))</f>
        <v>m2</v>
      </c>
      <c r="G87" s="10" t="n">
        <v>1.6</v>
      </c>
      <c r="H87" s="10" t="n">
        <v>0</v>
      </c>
    </row>
    <row r="88" customFormat="false" ht="15" hidden="false" customHeight="false" outlineLevel="0" collapsed="false">
      <c r="A88" s="0" t="s">
        <v>60</v>
      </c>
      <c r="B88" s="0" t="s">
        <v>61</v>
      </c>
      <c r="C88" s="0" t="s">
        <v>468</v>
      </c>
      <c r="D88" s="0" t="s">
        <v>431</v>
      </c>
      <c r="E88" s="9" t="str">
        <f aca="false">INDEX(Partidas!$D$2:$D$99,MATCH(D88,Partidas!$A$2:$A$99,0))</f>
        <v>Pintura plástica lisa en techos</v>
      </c>
      <c r="F88" s="9" t="str">
        <f aca="false">INDEX(Partidas!$C$2:$C$99,MATCH(D88,Partidas!$A$2:$A$99,0))</f>
        <v>m2</v>
      </c>
      <c r="G88" s="10" t="n">
        <v>1</v>
      </c>
      <c r="H88" s="10" t="n">
        <v>0</v>
      </c>
    </row>
    <row r="89" customFormat="false" ht="15" hidden="false" customHeight="false" outlineLevel="0" collapsed="false">
      <c r="A89" s="0" t="s">
        <v>60</v>
      </c>
      <c r="B89" s="0" t="s">
        <v>61</v>
      </c>
      <c r="C89" s="0" t="s">
        <v>468</v>
      </c>
      <c r="D89" s="0" t="s">
        <v>271</v>
      </c>
      <c r="E89" s="9" t="str">
        <f aca="false">INDEX(Partidas!$D$2:$D$99,MATCH(D89,Partidas!$A$2:$A$99,0))</f>
        <v>Punto de agua fría y caliente</v>
      </c>
      <c r="F89" s="9" t="str">
        <f aca="false">INDEX(Partidas!$C$2:$C$99,MATCH(D89,Partidas!$A$2:$A$99,0))</f>
        <v>ud</v>
      </c>
      <c r="G89" s="10" t="n">
        <v>0</v>
      </c>
      <c r="H89" s="10" t="n">
        <v>3</v>
      </c>
    </row>
    <row r="90" customFormat="false" ht="15" hidden="false" customHeight="false" outlineLevel="0" collapsed="false">
      <c r="A90" s="0" t="s">
        <v>60</v>
      </c>
      <c r="B90" s="0" t="s">
        <v>61</v>
      </c>
      <c r="C90" s="0" t="s">
        <v>468</v>
      </c>
      <c r="D90" s="0" t="s">
        <v>275</v>
      </c>
      <c r="E90" s="9" t="str">
        <f aca="false">INDEX(Partidas!$D$2:$D$99,MATCH(D90,Partidas!$A$2:$A$99,0))</f>
        <v>Punto de desagüe</v>
      </c>
      <c r="F90" s="9" t="str">
        <f aca="false">INDEX(Partidas!$C$2:$C$99,MATCH(D90,Partidas!$A$2:$A$99,0))</f>
        <v>ud</v>
      </c>
      <c r="G90" s="10" t="n">
        <v>0</v>
      </c>
      <c r="H90" s="10" t="n">
        <v>2</v>
      </c>
    </row>
    <row r="91" customFormat="false" ht="15" hidden="false" customHeight="false" outlineLevel="0" collapsed="false">
      <c r="A91" s="0" t="s">
        <v>60</v>
      </c>
      <c r="B91" s="0" t="s">
        <v>61</v>
      </c>
      <c r="C91" s="0" t="s">
        <v>468</v>
      </c>
      <c r="D91" s="0" t="s">
        <v>283</v>
      </c>
      <c r="E91" s="9" t="str">
        <f aca="false">INDEX(Partidas!$D$2:$D$99,MATCH(D91,Partidas!$A$2:$A$99,0))</f>
        <v>Llave de corte por estancia húmeda</v>
      </c>
      <c r="F91" s="9" t="str">
        <f aca="false">INDEX(Partidas!$C$2:$C$99,MATCH(D91,Partidas!$A$2:$A$99,0))</f>
        <v>ud</v>
      </c>
      <c r="G91" s="10" t="n">
        <v>0</v>
      </c>
      <c r="H91" s="10" t="n">
        <v>1</v>
      </c>
    </row>
    <row r="92" customFormat="false" ht="15" hidden="false" customHeight="false" outlineLevel="0" collapsed="false">
      <c r="A92" s="0" t="s">
        <v>60</v>
      </c>
      <c r="B92" s="0" t="s">
        <v>61</v>
      </c>
      <c r="C92" s="0" t="s">
        <v>468</v>
      </c>
      <c r="D92" s="0" t="s">
        <v>378</v>
      </c>
      <c r="E92" s="9" t="str">
        <f aca="false">INDEX(Partidas!$D$2:$D$99,MATCH(D92,Partidas!$A$2:$A$99,0))</f>
        <v>Toma para electrodoméstico</v>
      </c>
      <c r="F92" s="9" t="str">
        <f aca="false">INDEX(Partidas!$C$2:$C$99,MATCH(D92,Partidas!$A$2:$A$99,0))</f>
        <v>ud</v>
      </c>
      <c r="G92" s="10" t="n">
        <v>0</v>
      </c>
      <c r="H92" s="10" t="n">
        <v>5</v>
      </c>
    </row>
    <row r="93" customFormat="false" ht="15" hidden="false" customHeight="false" outlineLevel="0" collapsed="false">
      <c r="A93" s="0" t="s">
        <v>60</v>
      </c>
      <c r="B93" s="0" t="s">
        <v>61</v>
      </c>
      <c r="C93" s="0" t="s">
        <v>468</v>
      </c>
      <c r="D93" s="0" t="s">
        <v>366</v>
      </c>
      <c r="E93" s="9" t="str">
        <f aca="false">INDEX(Partidas!$D$2:$D$99,MATCH(D93,Partidas!$A$2:$A$99,0))</f>
        <v>Toma de corriente</v>
      </c>
      <c r="F93" s="9" t="str">
        <f aca="false">INDEX(Partidas!$C$2:$C$99,MATCH(D93,Partidas!$A$2:$A$99,0))</f>
        <v>ud</v>
      </c>
      <c r="G93" s="10" t="n">
        <v>0</v>
      </c>
      <c r="H93" s="10" t="n">
        <v>4</v>
      </c>
    </row>
    <row r="94" customFormat="false" ht="15" hidden="false" customHeight="false" outlineLevel="0" collapsed="false">
      <c r="A94" s="0" t="s">
        <v>60</v>
      </c>
      <c r="B94" s="0" t="s">
        <v>61</v>
      </c>
      <c r="C94" s="0" t="s">
        <v>468</v>
      </c>
      <c r="D94" s="0" t="s">
        <v>358</v>
      </c>
      <c r="E94" s="9" t="str">
        <f aca="false">INDEX(Partidas!$D$2:$D$99,MATCH(D94,Partidas!$A$2:$A$99,0))</f>
        <v>Punto de luz conmutado</v>
      </c>
      <c r="F94" s="9" t="str">
        <f aca="false">INDEX(Partidas!$C$2:$C$99,MATCH(D94,Partidas!$A$2:$A$99,0))</f>
        <v>ud</v>
      </c>
      <c r="G94" s="10" t="n">
        <v>0</v>
      </c>
      <c r="H94" s="10" t="n">
        <v>1</v>
      </c>
    </row>
    <row r="95" customFormat="false" ht="15" hidden="false" customHeight="false" outlineLevel="0" collapsed="false">
      <c r="A95" s="0" t="s">
        <v>60</v>
      </c>
      <c r="B95" s="0" t="s">
        <v>61</v>
      </c>
      <c r="C95" s="0" t="s">
        <v>468</v>
      </c>
      <c r="D95" s="0" t="s">
        <v>354</v>
      </c>
      <c r="E95" s="9" t="str">
        <f aca="false">INDEX(Partidas!$D$2:$D$99,MATCH(D95,Partidas!$A$2:$A$99,0))</f>
        <v>Punto de luz adicional en el mismo circuito</v>
      </c>
      <c r="F95" s="9" t="str">
        <f aca="false">INDEX(Partidas!$C$2:$C$99,MATCH(D95,Partidas!$A$2:$A$99,0))</f>
        <v>ud</v>
      </c>
      <c r="G95" s="10" t="n">
        <v>0</v>
      </c>
      <c r="H95" s="10" t="n">
        <v>2</v>
      </c>
    </row>
    <row r="96" customFormat="false" ht="15" hidden="false" customHeight="false" outlineLevel="0" collapsed="false">
      <c r="A96" s="0" t="s">
        <v>60</v>
      </c>
      <c r="B96" s="0" t="s">
        <v>61</v>
      </c>
      <c r="C96" s="0" t="s">
        <v>468</v>
      </c>
      <c r="D96" s="0" t="s">
        <v>424</v>
      </c>
      <c r="E96" s="9" t="str">
        <f aca="false">INDEX(Partidas!$D$2:$D$99,MATCH(D96,Partidas!$A$2:$A$99,0))</f>
        <v>Conducto de campana extractora</v>
      </c>
      <c r="F96" s="9" t="str">
        <f aca="false">INDEX(Partidas!$C$2:$C$99,MATCH(D96,Partidas!$A$2:$A$99,0))</f>
        <v>ud</v>
      </c>
      <c r="G96" s="10" t="n">
        <v>0</v>
      </c>
      <c r="H96" s="10" t="n">
        <v>1</v>
      </c>
    </row>
    <row r="97" customFormat="false" ht="15" hidden="false" customHeight="false" outlineLevel="0" collapsed="false">
      <c r="A97" s="0" t="s">
        <v>60</v>
      </c>
      <c r="B97" s="0" t="s">
        <v>61</v>
      </c>
      <c r="C97" s="0" t="s">
        <v>468</v>
      </c>
      <c r="D97" s="0" t="s">
        <v>343</v>
      </c>
      <c r="E97" s="9" t="str">
        <f aca="false">INDEX(Partidas!$D$2:$D$99,MATCH(D97,Partidas!$A$2:$A$99,0))</f>
        <v>Conexión de electrodomésticos y fregadero</v>
      </c>
      <c r="F97" s="9" t="str">
        <f aca="false">INDEX(Partidas!$C$2:$C$99,MATCH(D97,Partidas!$A$2:$A$99,0))</f>
        <v>pa</v>
      </c>
      <c r="G97" s="10" t="n">
        <v>0</v>
      </c>
      <c r="H97" s="10" t="n">
        <v>1</v>
      </c>
    </row>
    <row r="98" customFormat="false" ht="15" hidden="false" customHeight="false" outlineLevel="0" collapsed="false">
      <c r="A98" s="0" t="s">
        <v>481</v>
      </c>
      <c r="B98" s="0" t="s">
        <v>482</v>
      </c>
      <c r="C98" s="0" t="s">
        <v>468</v>
      </c>
      <c r="D98" s="0" t="s">
        <v>180</v>
      </c>
      <c r="E98" s="9" t="str">
        <f aca="false">INDEX(Partidas!$D$2:$D$99,MATCH(D98,Partidas!$A$2:$A$99,0))</f>
        <v>Impermeabilización de suelo en zona húmeda</v>
      </c>
      <c r="F98" s="9" t="str">
        <f aca="false">INDEX(Partidas!$C$2:$C$99,MATCH(D98,Partidas!$A$2:$A$99,0))</f>
        <v>m2</v>
      </c>
      <c r="G98" s="10" t="n">
        <v>1</v>
      </c>
      <c r="H98" s="10" t="n">
        <v>0</v>
      </c>
    </row>
    <row r="99" customFormat="false" ht="15" hidden="false" customHeight="false" outlineLevel="0" collapsed="false">
      <c r="A99" s="0" t="s">
        <v>481</v>
      </c>
      <c r="B99" s="0" t="s">
        <v>482</v>
      </c>
      <c r="C99" s="0" t="s">
        <v>468</v>
      </c>
      <c r="D99" s="0" t="s">
        <v>213</v>
      </c>
      <c r="E99" s="9" t="str">
        <f aca="false">INDEX(Partidas!$D$2:$D$99,MATCH(D99,Partidas!$A$2:$A$99,0))</f>
        <v>Solado de gres porcelánico</v>
      </c>
      <c r="F99" s="9" t="str">
        <f aca="false">INDEX(Partidas!$C$2:$C$99,MATCH(D99,Partidas!$A$2:$A$99,0))</f>
        <v>m2</v>
      </c>
      <c r="G99" s="10" t="n">
        <v>1</v>
      </c>
      <c r="H99" s="10" t="n">
        <v>0</v>
      </c>
    </row>
    <row r="100" customFormat="false" ht="15" hidden="false" customHeight="false" outlineLevel="0" collapsed="false">
      <c r="A100" s="0" t="s">
        <v>481</v>
      </c>
      <c r="B100" s="0" t="s">
        <v>482</v>
      </c>
      <c r="C100" s="0" t="s">
        <v>468</v>
      </c>
      <c r="D100" s="0" t="s">
        <v>164</v>
      </c>
      <c r="E100" s="9" t="str">
        <f aca="false">INDEX(Partidas!$D$2:$D$99,MATCH(D100,Partidas!$A$2:$A$99,0))</f>
        <v>Falso techo continuo PYL hidrófugo</v>
      </c>
      <c r="F100" s="9" t="str">
        <f aca="false">INDEX(Partidas!$C$2:$C$99,MATCH(D100,Partidas!$A$2:$A$99,0))</f>
        <v>m2</v>
      </c>
      <c r="G100" s="10" t="n">
        <v>1</v>
      </c>
      <c r="H100" s="10" t="n">
        <v>0</v>
      </c>
    </row>
    <row r="101" customFormat="false" ht="15" hidden="false" customHeight="false" outlineLevel="0" collapsed="false">
      <c r="A101" s="0" t="s">
        <v>481</v>
      </c>
      <c r="B101" s="0" t="s">
        <v>482</v>
      </c>
      <c r="C101" s="0" t="s">
        <v>468</v>
      </c>
      <c r="D101" s="0" t="s">
        <v>427</v>
      </c>
      <c r="E101" s="9" t="str">
        <f aca="false">INDEX(Partidas!$D$2:$D$99,MATCH(D101,Partidas!$A$2:$A$99,0))</f>
        <v>Pintura plástica lisa en paredes</v>
      </c>
      <c r="F101" s="9" t="str">
        <f aca="false">INDEX(Partidas!$C$2:$C$99,MATCH(D101,Partidas!$A$2:$A$99,0))</f>
        <v>m2</v>
      </c>
      <c r="G101" s="10" t="n">
        <v>2.4</v>
      </c>
      <c r="H101" s="10" t="n">
        <v>0</v>
      </c>
    </row>
    <row r="102" customFormat="false" ht="15" hidden="false" customHeight="false" outlineLevel="0" collapsed="false">
      <c r="A102" s="0" t="s">
        <v>481</v>
      </c>
      <c r="B102" s="0" t="s">
        <v>482</v>
      </c>
      <c r="C102" s="0" t="s">
        <v>468</v>
      </c>
      <c r="D102" s="0" t="s">
        <v>431</v>
      </c>
      <c r="E102" s="9" t="str">
        <f aca="false">INDEX(Partidas!$D$2:$D$99,MATCH(D102,Partidas!$A$2:$A$99,0))</f>
        <v>Pintura plástica lisa en techos</v>
      </c>
      <c r="F102" s="9" t="str">
        <f aca="false">INDEX(Partidas!$C$2:$C$99,MATCH(D102,Partidas!$A$2:$A$99,0))</f>
        <v>m2</v>
      </c>
      <c r="G102" s="10" t="n">
        <v>1</v>
      </c>
      <c r="H102" s="10" t="n">
        <v>0</v>
      </c>
    </row>
    <row r="103" customFormat="false" ht="15" hidden="false" customHeight="false" outlineLevel="0" collapsed="false">
      <c r="A103" s="0" t="s">
        <v>481</v>
      </c>
      <c r="B103" s="0" t="s">
        <v>482</v>
      </c>
      <c r="C103" s="0" t="s">
        <v>468</v>
      </c>
      <c r="D103" s="0" t="s">
        <v>271</v>
      </c>
      <c r="E103" s="9" t="str">
        <f aca="false">INDEX(Partidas!$D$2:$D$99,MATCH(D103,Partidas!$A$2:$A$99,0))</f>
        <v>Punto de agua fría y caliente</v>
      </c>
      <c r="F103" s="9" t="str">
        <f aca="false">INDEX(Partidas!$C$2:$C$99,MATCH(D103,Partidas!$A$2:$A$99,0))</f>
        <v>ud</v>
      </c>
      <c r="G103" s="10" t="n">
        <v>0</v>
      </c>
      <c r="H103" s="10" t="n">
        <v>2</v>
      </c>
    </row>
    <row r="104" customFormat="false" ht="15" hidden="false" customHeight="false" outlineLevel="0" collapsed="false">
      <c r="A104" s="0" t="s">
        <v>481</v>
      </c>
      <c r="B104" s="0" t="s">
        <v>482</v>
      </c>
      <c r="C104" s="0" t="s">
        <v>468</v>
      </c>
      <c r="D104" s="0" t="s">
        <v>275</v>
      </c>
      <c r="E104" s="9" t="str">
        <f aca="false">INDEX(Partidas!$D$2:$D$99,MATCH(D104,Partidas!$A$2:$A$99,0))</f>
        <v>Punto de desagüe</v>
      </c>
      <c r="F104" s="9" t="str">
        <f aca="false">INDEX(Partidas!$C$2:$C$99,MATCH(D104,Partidas!$A$2:$A$99,0))</f>
        <v>ud</v>
      </c>
      <c r="G104" s="10" t="n">
        <v>0</v>
      </c>
      <c r="H104" s="10" t="n">
        <v>1</v>
      </c>
    </row>
    <row r="105" customFormat="false" ht="15" hidden="false" customHeight="false" outlineLevel="0" collapsed="false">
      <c r="A105" s="0" t="s">
        <v>481</v>
      </c>
      <c r="B105" s="0" t="s">
        <v>482</v>
      </c>
      <c r="C105" s="0" t="s">
        <v>468</v>
      </c>
      <c r="D105" s="0" t="s">
        <v>350</v>
      </c>
      <c r="E105" s="9" t="str">
        <f aca="false">INDEX(Partidas!$D$2:$D$99,MATCH(D105,Partidas!$A$2:$A$99,0))</f>
        <v>Punto de luz sencillo</v>
      </c>
      <c r="F105" s="9" t="str">
        <f aca="false">INDEX(Partidas!$C$2:$C$99,MATCH(D105,Partidas!$A$2:$A$99,0))</f>
        <v>ud</v>
      </c>
      <c r="G105" s="10" t="n">
        <v>0</v>
      </c>
      <c r="H105" s="10" t="n">
        <v>1</v>
      </c>
    </row>
    <row r="106" customFormat="false" ht="15" hidden="false" customHeight="false" outlineLevel="0" collapsed="false">
      <c r="A106" s="0" t="s">
        <v>481</v>
      </c>
      <c r="B106" s="0" t="s">
        <v>482</v>
      </c>
      <c r="C106" s="0" t="s">
        <v>468</v>
      </c>
      <c r="D106" s="0" t="s">
        <v>378</v>
      </c>
      <c r="E106" s="9" t="str">
        <f aca="false">INDEX(Partidas!$D$2:$D$99,MATCH(D106,Partidas!$A$2:$A$99,0))</f>
        <v>Toma para electrodoméstico</v>
      </c>
      <c r="F106" s="9" t="str">
        <f aca="false">INDEX(Partidas!$C$2:$C$99,MATCH(D106,Partidas!$A$2:$A$99,0))</f>
        <v>ud</v>
      </c>
      <c r="G106" s="10" t="n">
        <v>0</v>
      </c>
      <c r="H106" s="10" t="n">
        <v>2</v>
      </c>
    </row>
    <row r="107" customFormat="false" ht="15" hidden="false" customHeight="false" outlineLevel="0" collapsed="false">
      <c r="A107" s="0" t="s">
        <v>481</v>
      </c>
      <c r="B107" s="0" t="s">
        <v>482</v>
      </c>
      <c r="C107" s="0" t="s">
        <v>468</v>
      </c>
      <c r="D107" s="0" t="s">
        <v>366</v>
      </c>
      <c r="E107" s="9" t="str">
        <f aca="false">INDEX(Partidas!$D$2:$D$99,MATCH(D107,Partidas!$A$2:$A$99,0))</f>
        <v>Toma de corriente</v>
      </c>
      <c r="F107" s="9" t="str">
        <f aca="false">INDEX(Partidas!$C$2:$C$99,MATCH(D107,Partidas!$A$2:$A$99,0))</f>
        <v>ud</v>
      </c>
      <c r="G107" s="10" t="n">
        <v>0</v>
      </c>
      <c r="H107" s="10" t="n">
        <v>1</v>
      </c>
    </row>
    <row r="108" customFormat="false" ht="15" hidden="false" customHeight="false" outlineLevel="0" collapsed="false">
      <c r="A108" s="0" t="s">
        <v>481</v>
      </c>
      <c r="B108" s="0" t="s">
        <v>482</v>
      </c>
      <c r="C108" s="0" t="s">
        <v>468</v>
      </c>
      <c r="D108" s="0" t="s">
        <v>420</v>
      </c>
      <c r="E108" s="9" t="str">
        <f aca="false">INDEX(Partidas!$D$2:$D$99,MATCH(D108,Partidas!$A$2:$A$99,0))</f>
        <v>Extractor con conducto</v>
      </c>
      <c r="F108" s="9" t="str">
        <f aca="false">INDEX(Partidas!$C$2:$C$99,MATCH(D108,Partidas!$A$2:$A$99,0))</f>
        <v>ud</v>
      </c>
      <c r="G108" s="10" t="n">
        <v>0</v>
      </c>
      <c r="H108" s="10" t="n">
        <v>1</v>
      </c>
    </row>
    <row r="109" customFormat="false" ht="15" hidden="false" customHeight="false" outlineLevel="0" collapsed="false">
      <c r="A109" s="0" t="s">
        <v>481</v>
      </c>
      <c r="B109" s="0" t="s">
        <v>482</v>
      </c>
      <c r="C109" s="0" t="s">
        <v>468</v>
      </c>
      <c r="D109" s="0" t="s">
        <v>255</v>
      </c>
      <c r="E109" s="9" t="str">
        <f aca="false">INDEX(Partidas!$D$2:$D$99,MATCH(D109,Partidas!$A$2:$A$99,0))</f>
        <v>Puerta corredera con casoneto</v>
      </c>
      <c r="F109" s="9" t="str">
        <f aca="false">INDEX(Partidas!$C$2:$C$99,MATCH(D109,Partidas!$A$2:$A$99,0))</f>
        <v>ud</v>
      </c>
      <c r="G109" s="10" t="n">
        <v>0</v>
      </c>
      <c r="H109" s="10" t="n">
        <v>1</v>
      </c>
    </row>
    <row r="110" customFormat="false" ht="15" hidden="false" customHeight="false" outlineLevel="0" collapsed="false">
      <c r="A110" s="0" t="s">
        <v>483</v>
      </c>
      <c r="B110" s="0" t="s">
        <v>484</v>
      </c>
      <c r="C110" s="0" t="s">
        <v>485</v>
      </c>
      <c r="D110" s="0" t="s">
        <v>107</v>
      </c>
      <c r="E110" s="9" t="str">
        <f aca="false">INDEX(Partidas!$D$2:$D$99,MATCH(D110,Partidas!$A$2:$A$99,0))</f>
        <v>Desmontaje de carpintería exterior</v>
      </c>
      <c r="F110" s="9" t="str">
        <f aca="false">INDEX(Partidas!$C$2:$C$99,MATCH(D110,Partidas!$A$2:$A$99,0))</f>
        <v>ud</v>
      </c>
      <c r="G110" s="10" t="n">
        <v>1</v>
      </c>
      <c r="H110" s="10" t="n">
        <v>0</v>
      </c>
    </row>
    <row r="111" customFormat="false" ht="15" hidden="false" customHeight="false" outlineLevel="0" collapsed="false">
      <c r="A111" s="0" t="s">
        <v>483</v>
      </c>
      <c r="B111" s="0" t="s">
        <v>484</v>
      </c>
      <c r="C111" s="0" t="s">
        <v>485</v>
      </c>
      <c r="D111" s="0" t="s">
        <v>233</v>
      </c>
      <c r="E111" s="9" t="str">
        <f aca="false">INDEX(Partidas!$D$2:$D$99,MATCH(D111,Partidas!$A$2:$A$99,0))</f>
        <v>Ventana de aluminio con rotura de puente térmico</v>
      </c>
      <c r="F111" s="9" t="str">
        <f aca="false">INDEX(Partidas!$C$2:$C$99,MATCH(D111,Partidas!$A$2:$A$99,0))</f>
        <v>ud</v>
      </c>
      <c r="G111" s="10" t="n">
        <v>1</v>
      </c>
      <c r="H111" s="10" t="n">
        <v>0</v>
      </c>
    </row>
    <row r="112" customFormat="false" ht="15" hidden="false" customHeight="false" outlineLevel="0" collapsed="false">
      <c r="A112" s="0" t="s">
        <v>483</v>
      </c>
      <c r="B112" s="0" t="s">
        <v>484</v>
      </c>
      <c r="C112" s="0" t="s">
        <v>485</v>
      </c>
      <c r="D112" s="0" t="s">
        <v>97</v>
      </c>
      <c r="E112" s="9" t="str">
        <f aca="false">INDEX(Partidas!$D$2:$D$99,MATCH(D112,Partidas!$A$2:$A$99,0))</f>
        <v>Medios de elevación para carpintería exterior</v>
      </c>
      <c r="F112" s="9" t="str">
        <f aca="false">INDEX(Partidas!$C$2:$C$99,MATCH(D112,Partidas!$A$2:$A$99,0))</f>
        <v>pa</v>
      </c>
      <c r="G112" s="10" t="n">
        <v>0</v>
      </c>
      <c r="H112" s="10" t="n">
        <v>1</v>
      </c>
    </row>
    <row r="113" customFormat="false" ht="15" hidden="false" customHeight="false" outlineLevel="0" collapsed="false">
      <c r="A113" s="0" t="s">
        <v>486</v>
      </c>
      <c r="B113" s="0" t="s">
        <v>487</v>
      </c>
      <c r="C113" s="0" t="s">
        <v>468</v>
      </c>
      <c r="D113" s="0" t="s">
        <v>135</v>
      </c>
      <c r="E113" s="9" t="str">
        <f aca="false">INDEX(Partidas!$D$2:$D$99,MATCH(D113,Partidas!$A$2:$A$99,0))</f>
        <v>Picado de alicatado y solado cerámico</v>
      </c>
      <c r="F113" s="9" t="str">
        <f aca="false">INDEX(Partidas!$C$2:$C$99,MATCH(D113,Partidas!$A$2:$A$99,0))</f>
        <v>m2</v>
      </c>
      <c r="G113" s="10" t="n">
        <v>4.7</v>
      </c>
      <c r="H113" s="10" t="n">
        <v>0</v>
      </c>
      <c r="I113" s="11" t="s">
        <v>488</v>
      </c>
    </row>
    <row r="114" customFormat="false" ht="15" hidden="false" customHeight="false" outlineLevel="0" collapsed="false">
      <c r="A114" s="0" t="s">
        <v>486</v>
      </c>
      <c r="B114" s="0" t="s">
        <v>487</v>
      </c>
      <c r="C114" s="0" t="s">
        <v>468</v>
      </c>
      <c r="D114" s="0" t="s">
        <v>139</v>
      </c>
      <c r="E114" s="9" t="str">
        <f aca="false">INDEX(Partidas!$D$2:$D$99,MATCH(D114,Partidas!$A$2:$A$99,0))</f>
        <v>Desmontaje de aparato sanitario o grifería</v>
      </c>
      <c r="F114" s="9" t="str">
        <f aca="false">INDEX(Partidas!$C$2:$C$99,MATCH(D114,Partidas!$A$2:$A$99,0))</f>
        <v>ud</v>
      </c>
      <c r="G114" s="10" t="n">
        <v>0</v>
      </c>
      <c r="H114" s="10" t="n">
        <v>3</v>
      </c>
    </row>
  </sheetData>
  <autoFilter ref="A1:I1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8" topLeftCell="E9" activePane="bottomRight" state="frozen"/>
      <selection pane="topLeft" activeCell="A1" activeCellId="0" sqref="A1"/>
      <selection pane="topRight" activeCell="E1" activeCellId="0" sqref="E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44"/>
    <col collapsed="false" customWidth="true" hidden="false" outlineLevel="0" max="4" min="4" style="0" width="5"/>
    <col collapsed="false" customWidth="true" hidden="false" outlineLevel="0" max="18" min="5" style="0" width="11"/>
    <col collapsed="false" customWidth="true" hidden="false" outlineLevel="0" max="21" min="19" style="0" width="13"/>
  </cols>
  <sheetData>
    <row r="1" customFormat="false" ht="17.35" hidden="false" customHeight="false" outlineLevel="0" collapsed="false">
      <c r="A1" s="12" t="s">
        <v>489</v>
      </c>
    </row>
    <row r="2" customFormat="false" ht="15" hidden="false" customHeight="false" outlineLevel="0" collapsed="false">
      <c r="A2" s="13" t="s">
        <v>490</v>
      </c>
    </row>
    <row r="4" customFormat="false" ht="30" hidden="false" customHeight="true" outlineLevel="0" collapsed="false">
      <c r="A4" s="14" t="s">
        <v>456</v>
      </c>
      <c r="E4" s="15" t="s">
        <v>491</v>
      </c>
      <c r="F4" s="15" t="s">
        <v>472</v>
      </c>
      <c r="G4" s="15" t="s">
        <v>492</v>
      </c>
      <c r="H4" s="15" t="s">
        <v>493</v>
      </c>
      <c r="I4" s="15" t="s">
        <v>494</v>
      </c>
      <c r="J4" s="15" t="s">
        <v>495</v>
      </c>
      <c r="K4" s="15" t="s">
        <v>496</v>
      </c>
      <c r="L4" s="15" t="s">
        <v>61</v>
      </c>
      <c r="M4" s="15" t="s">
        <v>482</v>
      </c>
      <c r="N4" s="15" t="s">
        <v>497</v>
      </c>
      <c r="O4" s="15" t="s">
        <v>498</v>
      </c>
      <c r="P4" s="15" t="s">
        <v>499</v>
      </c>
      <c r="Q4" s="15"/>
      <c r="R4" s="15"/>
    </row>
    <row r="5" customFormat="false" ht="15" hidden="false" customHeight="false" outlineLevel="0" collapsed="false">
      <c r="A5" s="14" t="s">
        <v>455</v>
      </c>
      <c r="E5" s="15" t="s">
        <v>462</v>
      </c>
      <c r="F5" s="15" t="s">
        <v>471</v>
      </c>
      <c r="G5" s="15" t="s">
        <v>466</v>
      </c>
      <c r="H5" s="15" t="s">
        <v>466</v>
      </c>
      <c r="I5" s="15" t="s">
        <v>466</v>
      </c>
      <c r="J5" s="15" t="s">
        <v>473</v>
      </c>
      <c r="K5" s="15" t="s">
        <v>473</v>
      </c>
      <c r="L5" s="15" t="s">
        <v>60</v>
      </c>
      <c r="M5" s="15" t="s">
        <v>481</v>
      </c>
      <c r="N5" s="15" t="s">
        <v>475</v>
      </c>
      <c r="O5" s="15" t="s">
        <v>475</v>
      </c>
      <c r="P5" s="15" t="s">
        <v>483</v>
      </c>
      <c r="Q5" s="15"/>
      <c r="R5" s="15"/>
    </row>
    <row r="6" customFormat="false" ht="15" hidden="false" customHeight="false" outlineLevel="0" collapsed="false">
      <c r="A6" s="14" t="s">
        <v>500</v>
      </c>
      <c r="E6" s="15" t="n">
        <v>91</v>
      </c>
      <c r="F6" s="15" t="n">
        <v>24</v>
      </c>
      <c r="G6" s="15" t="n">
        <v>15</v>
      </c>
      <c r="H6" s="15" t="n">
        <v>10</v>
      </c>
      <c r="I6" s="15" t="n">
        <v>10</v>
      </c>
      <c r="J6" s="15" t="n">
        <v>7</v>
      </c>
      <c r="K6" s="15" t="n">
        <v>4</v>
      </c>
      <c r="L6" s="15" t="n">
        <v>9</v>
      </c>
      <c r="M6" s="15" t="n">
        <v>3</v>
      </c>
      <c r="N6" s="15" t="n">
        <v>5</v>
      </c>
      <c r="O6" s="15" t="n">
        <v>4</v>
      </c>
      <c r="P6" s="15" t="n">
        <v>9</v>
      </c>
      <c r="Q6" s="15"/>
      <c r="R6" s="15"/>
    </row>
    <row r="8" customFormat="false" ht="15" hidden="false" customHeight="false" outlineLevel="0" collapsed="false">
      <c r="A8" s="16" t="s">
        <v>26</v>
      </c>
      <c r="B8" s="16" t="s">
        <v>501</v>
      </c>
      <c r="C8" s="16" t="s">
        <v>83</v>
      </c>
      <c r="D8" s="16" t="s">
        <v>82</v>
      </c>
      <c r="E8" s="16" t="str">
        <f aca="false">E4&amp;""</f>
        <v>Vivienda</v>
      </c>
      <c r="F8" s="16" t="str">
        <f aca="false">F4&amp;""</f>
        <v>Salón-comedor</v>
      </c>
      <c r="G8" s="16" t="str">
        <f aca="false">G4&amp;""</f>
        <v>Dormitorio principal</v>
      </c>
      <c r="H8" s="16" t="str">
        <f aca="false">H4&amp;""</f>
        <v>Dormitorio 2</v>
      </c>
      <c r="I8" s="16" t="str">
        <f aca="false">I4&amp;""</f>
        <v>Dormitorio 3</v>
      </c>
      <c r="J8" s="16" t="str">
        <f aca="false">J4&amp;""</f>
        <v>Pasillo</v>
      </c>
      <c r="K8" s="16" t="str">
        <f aca="false">K4&amp;""</f>
        <v>Hall</v>
      </c>
      <c r="L8" s="16" t="str">
        <f aca="false">L4&amp;""</f>
        <v>Cocina</v>
      </c>
      <c r="M8" s="16" t="str">
        <f aca="false">M4&amp;""</f>
        <v>Lavandería</v>
      </c>
      <c r="N8" s="16" t="str">
        <f aca="false">N4&amp;""</f>
        <v>Baño principal</v>
      </c>
      <c r="O8" s="16" t="str">
        <f aca="false">O4&amp;""</f>
        <v>Baño 2</v>
      </c>
      <c r="P8" s="16" t="str">
        <f aca="false">P4&amp;""</f>
        <v>Ventanas</v>
      </c>
      <c r="Q8" s="16" t="str">
        <f aca="false">Q4&amp;""</f>
        <v/>
      </c>
      <c r="R8" s="16" t="str">
        <f aca="false">R4&amp;""</f>
        <v/>
      </c>
      <c r="S8" s="16" t="s">
        <v>502</v>
      </c>
      <c r="T8" s="16" t="s">
        <v>503</v>
      </c>
      <c r="U8" s="16" t="s">
        <v>504</v>
      </c>
    </row>
    <row r="9" customFormat="false" ht="15" hidden="false" customHeight="false" outlineLevel="0" collapsed="false">
      <c r="A9" s="17" t="s">
        <v>31</v>
      </c>
      <c r="B9" s="18"/>
      <c r="C9" s="17" t="s">
        <v>32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9" t="n">
        <f aca="false">SUM(U10:U13)</f>
        <v>0</v>
      </c>
    </row>
    <row r="10" customFormat="false" ht="15" hidden="false" customHeight="false" outlineLevel="0" collapsed="false">
      <c r="A10" s="0" t="s">
        <v>89</v>
      </c>
      <c r="B10" s="0" t="s">
        <v>31</v>
      </c>
      <c r="C10" s="9" t="str">
        <f aca="false">INDEX(Partidas!$D$2:$D$99,MATCH(A10,Partidas!$A$2:$A$99,0))</f>
        <v>Protección de zonas comunes y elementos que se conservan</v>
      </c>
      <c r="D10" s="9" t="str">
        <f aca="false">INDEX(Partidas!$C$2:$C$99,MATCH(A10,Partidas!$A$2:$A$99,0))</f>
        <v>pa</v>
      </c>
      <c r="E10" s="20" t="n">
        <f aca="false">IF(E$5="",0,SUMPRODUCT((Plantillas!$A$2:$A$114=E$5)*(Plantillas!$D$2:$D$114=$A10)*(Plantillas!$G$2:$G$114*N(E$6)+Plantillas!$H$2:$H$114)))</f>
        <v>1</v>
      </c>
      <c r="F10" s="20" t="n">
        <f aca="false">IF(F$5="",0,SUMPRODUCT((Plantillas!$A$2:$A$114=F$5)*(Plantillas!$D$2:$D$114=$A10)*(Plantillas!$G$2:$G$114*N(F$6)+Plantillas!$H$2:$H$114)))</f>
        <v>0</v>
      </c>
      <c r="G10" s="20" t="n">
        <f aca="false">IF(G$5="",0,SUMPRODUCT((Plantillas!$A$2:$A$114=G$5)*(Plantillas!$D$2:$D$114=$A10)*(Plantillas!$G$2:$G$114*N(G$6)+Plantillas!$H$2:$H$114)))</f>
        <v>0</v>
      </c>
      <c r="H10" s="20" t="n">
        <f aca="false">IF(H$5="",0,SUMPRODUCT((Plantillas!$A$2:$A$114=H$5)*(Plantillas!$D$2:$D$114=$A10)*(Plantillas!$G$2:$G$114*N(H$6)+Plantillas!$H$2:$H$114)))</f>
        <v>0</v>
      </c>
      <c r="I10" s="20" t="n">
        <f aca="false">IF(I$5="",0,SUMPRODUCT((Plantillas!$A$2:$A$114=I$5)*(Plantillas!$D$2:$D$114=$A10)*(Plantillas!$G$2:$G$114*N(I$6)+Plantillas!$H$2:$H$114)))</f>
        <v>0</v>
      </c>
      <c r="J10" s="20" t="n">
        <f aca="false">IF(J$5="",0,SUMPRODUCT((Plantillas!$A$2:$A$114=J$5)*(Plantillas!$D$2:$D$114=$A10)*(Plantillas!$G$2:$G$114*N(J$6)+Plantillas!$H$2:$H$114)))</f>
        <v>0</v>
      </c>
      <c r="K10" s="20" t="n">
        <f aca="false">IF(K$5="",0,SUMPRODUCT((Plantillas!$A$2:$A$114=K$5)*(Plantillas!$D$2:$D$114=$A10)*(Plantillas!$G$2:$G$114*N(K$6)+Plantillas!$H$2:$H$114)))</f>
        <v>0</v>
      </c>
      <c r="L10" s="20" t="n">
        <f aca="false">IF(L$5="",0,SUMPRODUCT((Plantillas!$A$2:$A$114=L$5)*(Plantillas!$D$2:$D$114=$A10)*(Plantillas!$G$2:$G$114*N(L$6)+Plantillas!$H$2:$H$114)))</f>
        <v>0</v>
      </c>
      <c r="M10" s="20" t="n">
        <f aca="false">IF(M$5="",0,SUMPRODUCT((Plantillas!$A$2:$A$114=M$5)*(Plantillas!$D$2:$D$114=$A10)*(Plantillas!$G$2:$G$114*N(M$6)+Plantillas!$H$2:$H$114)))</f>
        <v>0</v>
      </c>
      <c r="N10" s="20" t="n">
        <f aca="false">IF(N$5="",0,SUMPRODUCT((Plantillas!$A$2:$A$114=N$5)*(Plantillas!$D$2:$D$114=$A10)*(Plantillas!$G$2:$G$114*N(N$6)+Plantillas!$H$2:$H$114)))</f>
        <v>0</v>
      </c>
      <c r="O10" s="20" t="n">
        <f aca="false">IF(O$5="",0,SUMPRODUCT((Plantillas!$A$2:$A$114=O$5)*(Plantillas!$D$2:$D$114=$A10)*(Plantillas!$G$2:$G$114*N(O$6)+Plantillas!$H$2:$H$114)))</f>
        <v>0</v>
      </c>
      <c r="P10" s="20" t="n">
        <f aca="false">IF(P$5="",0,SUMPRODUCT((Plantillas!$A$2:$A$114=P$5)*(Plantillas!$D$2:$D$114=$A10)*(Plantillas!$G$2:$G$114*N(P$6)+Plantillas!$H$2:$H$114)))</f>
        <v>0</v>
      </c>
      <c r="Q10" s="20" t="n">
        <f aca="false">IF(Q$5="",0,SUMPRODUCT((Plantillas!$A$2:$A$114=Q$5)*(Plantillas!$D$2:$D$114=$A10)*(Plantillas!$G$2:$G$114*N(Q$6)+Plantillas!$H$2:$H$114)))</f>
        <v>0</v>
      </c>
      <c r="R10" s="20" t="n">
        <f aca="false">IF(R$5="",0,SUMPRODUCT((Plantillas!$A$2:$A$114=R$5)*(Plantillas!$D$2:$D$114=$A10)*(Plantillas!$G$2:$G$114*N(R$6)+Plantillas!$H$2:$H$114)))</f>
        <v>0</v>
      </c>
      <c r="S10" s="20" t="n">
        <f aca="false">SUM(E10:R10)</f>
        <v>1</v>
      </c>
      <c r="T10" s="21" t="str">
        <f aca="false">IF(INDEX(Partidas!$F$2:$F$99,MATCH(A10,Partidas!$A$2:$A$99,0))="","",INDEX(Partidas!$F$2:$F$99,MATCH(A10,Partidas!$A$2:$A$99,0)))</f>
        <v/>
      </c>
      <c r="U10" s="22" t="n">
        <f aca="false">IF(T10="",0,S10*T10)</f>
        <v>0</v>
      </c>
    </row>
    <row r="11" customFormat="false" ht="15" hidden="false" customHeight="false" outlineLevel="0" collapsed="false">
      <c r="A11" s="0" t="s">
        <v>94</v>
      </c>
      <c r="B11" s="0" t="s">
        <v>31</v>
      </c>
      <c r="C11" s="9" t="str">
        <f aca="false">INDEX(Partidas!$D$2:$D$99,MATCH(A11,Partidas!$A$2:$A$99,0))</f>
        <v>Comunicación a la comunidad y gestión de ascensor/montacargas</v>
      </c>
      <c r="D11" s="9" t="str">
        <f aca="false">INDEX(Partidas!$C$2:$C$99,MATCH(A11,Partidas!$A$2:$A$99,0))</f>
        <v>pa</v>
      </c>
      <c r="E11" s="20" t="n">
        <f aca="false">IF(E$5="",0,SUMPRODUCT((Plantillas!$A$2:$A$114=E$5)*(Plantillas!$D$2:$D$114=$A11)*(Plantillas!$G$2:$G$114*N(E$6)+Plantillas!$H$2:$H$114)))</f>
        <v>1</v>
      </c>
      <c r="F11" s="20" t="n">
        <f aca="false">IF(F$5="",0,SUMPRODUCT((Plantillas!$A$2:$A$114=F$5)*(Plantillas!$D$2:$D$114=$A11)*(Plantillas!$G$2:$G$114*N(F$6)+Plantillas!$H$2:$H$114)))</f>
        <v>0</v>
      </c>
      <c r="G11" s="20" t="n">
        <f aca="false">IF(G$5="",0,SUMPRODUCT((Plantillas!$A$2:$A$114=G$5)*(Plantillas!$D$2:$D$114=$A11)*(Plantillas!$G$2:$G$114*N(G$6)+Plantillas!$H$2:$H$114)))</f>
        <v>0</v>
      </c>
      <c r="H11" s="20" t="n">
        <f aca="false">IF(H$5="",0,SUMPRODUCT((Plantillas!$A$2:$A$114=H$5)*(Plantillas!$D$2:$D$114=$A11)*(Plantillas!$G$2:$G$114*N(H$6)+Plantillas!$H$2:$H$114)))</f>
        <v>0</v>
      </c>
      <c r="I11" s="20" t="n">
        <f aca="false">IF(I$5="",0,SUMPRODUCT((Plantillas!$A$2:$A$114=I$5)*(Plantillas!$D$2:$D$114=$A11)*(Plantillas!$G$2:$G$114*N(I$6)+Plantillas!$H$2:$H$114)))</f>
        <v>0</v>
      </c>
      <c r="J11" s="20" t="n">
        <f aca="false">IF(J$5="",0,SUMPRODUCT((Plantillas!$A$2:$A$114=J$5)*(Plantillas!$D$2:$D$114=$A11)*(Plantillas!$G$2:$G$114*N(J$6)+Plantillas!$H$2:$H$114)))</f>
        <v>0</v>
      </c>
      <c r="K11" s="20" t="n">
        <f aca="false">IF(K$5="",0,SUMPRODUCT((Plantillas!$A$2:$A$114=K$5)*(Plantillas!$D$2:$D$114=$A11)*(Plantillas!$G$2:$G$114*N(K$6)+Plantillas!$H$2:$H$114)))</f>
        <v>0</v>
      </c>
      <c r="L11" s="20" t="n">
        <f aca="false">IF(L$5="",0,SUMPRODUCT((Plantillas!$A$2:$A$114=L$5)*(Plantillas!$D$2:$D$114=$A11)*(Plantillas!$G$2:$G$114*N(L$6)+Plantillas!$H$2:$H$114)))</f>
        <v>0</v>
      </c>
      <c r="M11" s="20" t="n">
        <f aca="false">IF(M$5="",0,SUMPRODUCT((Plantillas!$A$2:$A$114=M$5)*(Plantillas!$D$2:$D$114=$A11)*(Plantillas!$G$2:$G$114*N(M$6)+Plantillas!$H$2:$H$114)))</f>
        <v>0</v>
      </c>
      <c r="N11" s="20" t="n">
        <f aca="false">IF(N$5="",0,SUMPRODUCT((Plantillas!$A$2:$A$114=N$5)*(Plantillas!$D$2:$D$114=$A11)*(Plantillas!$G$2:$G$114*N(N$6)+Plantillas!$H$2:$H$114)))</f>
        <v>0</v>
      </c>
      <c r="O11" s="20" t="n">
        <f aca="false">IF(O$5="",0,SUMPRODUCT((Plantillas!$A$2:$A$114=O$5)*(Plantillas!$D$2:$D$114=$A11)*(Plantillas!$G$2:$G$114*N(O$6)+Plantillas!$H$2:$H$114)))</f>
        <v>0</v>
      </c>
      <c r="P11" s="20" t="n">
        <f aca="false">IF(P$5="",0,SUMPRODUCT((Plantillas!$A$2:$A$114=P$5)*(Plantillas!$D$2:$D$114=$A11)*(Plantillas!$G$2:$G$114*N(P$6)+Plantillas!$H$2:$H$114)))</f>
        <v>0</v>
      </c>
      <c r="Q11" s="20" t="n">
        <f aca="false">IF(Q$5="",0,SUMPRODUCT((Plantillas!$A$2:$A$114=Q$5)*(Plantillas!$D$2:$D$114=$A11)*(Plantillas!$G$2:$G$114*N(Q$6)+Plantillas!$H$2:$H$114)))</f>
        <v>0</v>
      </c>
      <c r="R11" s="20" t="n">
        <f aca="false">IF(R$5="",0,SUMPRODUCT((Plantillas!$A$2:$A$114=R$5)*(Plantillas!$D$2:$D$114=$A11)*(Plantillas!$G$2:$G$114*N(R$6)+Plantillas!$H$2:$H$114)))</f>
        <v>0</v>
      </c>
      <c r="S11" s="20" t="n">
        <f aca="false">SUM(E11:R11)</f>
        <v>1</v>
      </c>
      <c r="T11" s="21" t="str">
        <f aca="false">IF(INDEX(Partidas!$F$2:$F$99,MATCH(A11,Partidas!$A$2:$A$99,0))="","",INDEX(Partidas!$F$2:$F$99,MATCH(A11,Partidas!$A$2:$A$99,0)))</f>
        <v/>
      </c>
      <c r="U11" s="22" t="n">
        <f aca="false">IF(T11="",0,S11*T11)</f>
        <v>0</v>
      </c>
    </row>
    <row r="12" customFormat="false" ht="15" hidden="false" customHeight="false" outlineLevel="0" collapsed="false">
      <c r="A12" s="0" t="s">
        <v>97</v>
      </c>
      <c r="B12" s="0" t="s">
        <v>31</v>
      </c>
      <c r="C12" s="9" t="str">
        <f aca="false">INDEX(Partidas!$D$2:$D$99,MATCH(A12,Partidas!$A$2:$A$99,0))</f>
        <v>Medios de elevación para carpintería exterior</v>
      </c>
      <c r="D12" s="9" t="str">
        <f aca="false">INDEX(Partidas!$C$2:$C$99,MATCH(A12,Partidas!$A$2:$A$99,0))</f>
        <v>pa</v>
      </c>
      <c r="E12" s="20" t="n">
        <f aca="false">IF(E$5="",0,SUMPRODUCT((Plantillas!$A$2:$A$114=E$5)*(Plantillas!$D$2:$D$114=$A12)*(Plantillas!$G$2:$G$114*N(E$6)+Plantillas!$H$2:$H$114)))</f>
        <v>0</v>
      </c>
      <c r="F12" s="20" t="n">
        <f aca="false">IF(F$5="",0,SUMPRODUCT((Plantillas!$A$2:$A$114=F$5)*(Plantillas!$D$2:$D$114=$A12)*(Plantillas!$G$2:$G$114*N(F$6)+Plantillas!$H$2:$H$114)))</f>
        <v>0</v>
      </c>
      <c r="G12" s="20" t="n">
        <f aca="false">IF(G$5="",0,SUMPRODUCT((Plantillas!$A$2:$A$114=G$5)*(Plantillas!$D$2:$D$114=$A12)*(Plantillas!$G$2:$G$114*N(G$6)+Plantillas!$H$2:$H$114)))</f>
        <v>0</v>
      </c>
      <c r="H12" s="20" t="n">
        <f aca="false">IF(H$5="",0,SUMPRODUCT((Plantillas!$A$2:$A$114=H$5)*(Plantillas!$D$2:$D$114=$A12)*(Plantillas!$G$2:$G$114*N(H$6)+Plantillas!$H$2:$H$114)))</f>
        <v>0</v>
      </c>
      <c r="I12" s="20" t="n">
        <f aca="false">IF(I$5="",0,SUMPRODUCT((Plantillas!$A$2:$A$114=I$5)*(Plantillas!$D$2:$D$114=$A12)*(Plantillas!$G$2:$G$114*N(I$6)+Plantillas!$H$2:$H$114)))</f>
        <v>0</v>
      </c>
      <c r="J12" s="20" t="n">
        <f aca="false">IF(J$5="",0,SUMPRODUCT((Plantillas!$A$2:$A$114=J$5)*(Plantillas!$D$2:$D$114=$A12)*(Plantillas!$G$2:$G$114*N(J$6)+Plantillas!$H$2:$H$114)))</f>
        <v>0</v>
      </c>
      <c r="K12" s="20" t="n">
        <f aca="false">IF(K$5="",0,SUMPRODUCT((Plantillas!$A$2:$A$114=K$5)*(Plantillas!$D$2:$D$114=$A12)*(Plantillas!$G$2:$G$114*N(K$6)+Plantillas!$H$2:$H$114)))</f>
        <v>0</v>
      </c>
      <c r="L12" s="20" t="n">
        <f aca="false">IF(L$5="",0,SUMPRODUCT((Plantillas!$A$2:$A$114=L$5)*(Plantillas!$D$2:$D$114=$A12)*(Plantillas!$G$2:$G$114*N(L$6)+Plantillas!$H$2:$H$114)))</f>
        <v>0</v>
      </c>
      <c r="M12" s="20" t="n">
        <f aca="false">IF(M$5="",0,SUMPRODUCT((Plantillas!$A$2:$A$114=M$5)*(Plantillas!$D$2:$D$114=$A12)*(Plantillas!$G$2:$G$114*N(M$6)+Plantillas!$H$2:$H$114)))</f>
        <v>0</v>
      </c>
      <c r="N12" s="20" t="n">
        <f aca="false">IF(N$5="",0,SUMPRODUCT((Plantillas!$A$2:$A$114=N$5)*(Plantillas!$D$2:$D$114=$A12)*(Plantillas!$G$2:$G$114*N(N$6)+Plantillas!$H$2:$H$114)))</f>
        <v>0</v>
      </c>
      <c r="O12" s="20" t="n">
        <f aca="false">IF(O$5="",0,SUMPRODUCT((Plantillas!$A$2:$A$114=O$5)*(Plantillas!$D$2:$D$114=$A12)*(Plantillas!$G$2:$G$114*N(O$6)+Plantillas!$H$2:$H$114)))</f>
        <v>0</v>
      </c>
      <c r="P12" s="20" t="n">
        <f aca="false">IF(P$5="",0,SUMPRODUCT((Plantillas!$A$2:$A$114=P$5)*(Plantillas!$D$2:$D$114=$A12)*(Plantillas!$G$2:$G$114*N(P$6)+Plantillas!$H$2:$H$114)))</f>
        <v>1</v>
      </c>
      <c r="Q12" s="20" t="n">
        <f aca="false">IF(Q$5="",0,SUMPRODUCT((Plantillas!$A$2:$A$114=Q$5)*(Plantillas!$D$2:$D$114=$A12)*(Plantillas!$G$2:$G$114*N(Q$6)+Plantillas!$H$2:$H$114)))</f>
        <v>0</v>
      </c>
      <c r="R12" s="20" t="n">
        <f aca="false">IF(R$5="",0,SUMPRODUCT((Plantillas!$A$2:$A$114=R$5)*(Plantillas!$D$2:$D$114=$A12)*(Plantillas!$G$2:$G$114*N(R$6)+Plantillas!$H$2:$H$114)))</f>
        <v>0</v>
      </c>
      <c r="S12" s="20" t="n">
        <f aca="false">SUM(E12:R12)</f>
        <v>1</v>
      </c>
      <c r="T12" s="21" t="str">
        <f aca="false">IF(INDEX(Partidas!$F$2:$F$99,MATCH(A12,Partidas!$A$2:$A$99,0))="","",INDEX(Partidas!$F$2:$F$99,MATCH(A12,Partidas!$A$2:$A$99,0)))</f>
        <v/>
      </c>
      <c r="U12" s="22" t="n">
        <f aca="false">IF(T12="",0,S12*T12)</f>
        <v>0</v>
      </c>
    </row>
    <row r="13" customFormat="false" ht="15" hidden="false" customHeight="false" outlineLevel="0" collapsed="false">
      <c r="A13" s="0" t="s">
        <v>100</v>
      </c>
      <c r="B13" s="0" t="s">
        <v>31</v>
      </c>
      <c r="C13" s="9" t="str">
        <f aca="false">INDEX(Partidas!$D$2:$D$99,MATCH(A13,Partidas!$A$2:$A$99,0))</f>
        <v>Gestión de licencia o declaración responsable</v>
      </c>
      <c r="D13" s="9" t="str">
        <f aca="false">INDEX(Partidas!$C$2:$C$99,MATCH(A13,Partidas!$A$2:$A$99,0))</f>
        <v>pa</v>
      </c>
      <c r="E13" s="20" t="n">
        <f aca="false">IF(E$5="",0,SUMPRODUCT((Plantillas!$A$2:$A$114=E$5)*(Plantillas!$D$2:$D$114=$A13)*(Plantillas!$G$2:$G$114*N(E$6)+Plantillas!$H$2:$H$114)))</f>
        <v>1</v>
      </c>
      <c r="F13" s="20" t="n">
        <f aca="false">IF(F$5="",0,SUMPRODUCT((Plantillas!$A$2:$A$114=F$5)*(Plantillas!$D$2:$D$114=$A13)*(Plantillas!$G$2:$G$114*N(F$6)+Plantillas!$H$2:$H$114)))</f>
        <v>0</v>
      </c>
      <c r="G13" s="20" t="n">
        <f aca="false">IF(G$5="",0,SUMPRODUCT((Plantillas!$A$2:$A$114=G$5)*(Plantillas!$D$2:$D$114=$A13)*(Plantillas!$G$2:$G$114*N(G$6)+Plantillas!$H$2:$H$114)))</f>
        <v>0</v>
      </c>
      <c r="H13" s="20" t="n">
        <f aca="false">IF(H$5="",0,SUMPRODUCT((Plantillas!$A$2:$A$114=H$5)*(Plantillas!$D$2:$D$114=$A13)*(Plantillas!$G$2:$G$114*N(H$6)+Plantillas!$H$2:$H$114)))</f>
        <v>0</v>
      </c>
      <c r="I13" s="20" t="n">
        <f aca="false">IF(I$5="",0,SUMPRODUCT((Plantillas!$A$2:$A$114=I$5)*(Plantillas!$D$2:$D$114=$A13)*(Plantillas!$G$2:$G$114*N(I$6)+Plantillas!$H$2:$H$114)))</f>
        <v>0</v>
      </c>
      <c r="J13" s="20" t="n">
        <f aca="false">IF(J$5="",0,SUMPRODUCT((Plantillas!$A$2:$A$114=J$5)*(Plantillas!$D$2:$D$114=$A13)*(Plantillas!$G$2:$G$114*N(J$6)+Plantillas!$H$2:$H$114)))</f>
        <v>0</v>
      </c>
      <c r="K13" s="20" t="n">
        <f aca="false">IF(K$5="",0,SUMPRODUCT((Plantillas!$A$2:$A$114=K$5)*(Plantillas!$D$2:$D$114=$A13)*(Plantillas!$G$2:$G$114*N(K$6)+Plantillas!$H$2:$H$114)))</f>
        <v>0</v>
      </c>
      <c r="L13" s="20" t="n">
        <f aca="false">IF(L$5="",0,SUMPRODUCT((Plantillas!$A$2:$A$114=L$5)*(Plantillas!$D$2:$D$114=$A13)*(Plantillas!$G$2:$G$114*N(L$6)+Plantillas!$H$2:$H$114)))</f>
        <v>0</v>
      </c>
      <c r="M13" s="20" t="n">
        <f aca="false">IF(M$5="",0,SUMPRODUCT((Plantillas!$A$2:$A$114=M$5)*(Plantillas!$D$2:$D$114=$A13)*(Plantillas!$G$2:$G$114*N(M$6)+Plantillas!$H$2:$H$114)))</f>
        <v>0</v>
      </c>
      <c r="N13" s="20" t="n">
        <f aca="false">IF(N$5="",0,SUMPRODUCT((Plantillas!$A$2:$A$114=N$5)*(Plantillas!$D$2:$D$114=$A13)*(Plantillas!$G$2:$G$114*N(N$6)+Plantillas!$H$2:$H$114)))</f>
        <v>0</v>
      </c>
      <c r="O13" s="20" t="n">
        <f aca="false">IF(O$5="",0,SUMPRODUCT((Plantillas!$A$2:$A$114=O$5)*(Plantillas!$D$2:$D$114=$A13)*(Plantillas!$G$2:$G$114*N(O$6)+Plantillas!$H$2:$H$114)))</f>
        <v>0</v>
      </c>
      <c r="P13" s="20" t="n">
        <f aca="false">IF(P$5="",0,SUMPRODUCT((Plantillas!$A$2:$A$114=P$5)*(Plantillas!$D$2:$D$114=$A13)*(Plantillas!$G$2:$G$114*N(P$6)+Plantillas!$H$2:$H$114)))</f>
        <v>0</v>
      </c>
      <c r="Q13" s="20" t="n">
        <f aca="false">IF(Q$5="",0,SUMPRODUCT((Plantillas!$A$2:$A$114=Q$5)*(Plantillas!$D$2:$D$114=$A13)*(Plantillas!$G$2:$G$114*N(Q$6)+Plantillas!$H$2:$H$114)))</f>
        <v>0</v>
      </c>
      <c r="R13" s="20" t="n">
        <f aca="false">IF(R$5="",0,SUMPRODUCT((Plantillas!$A$2:$A$114=R$5)*(Plantillas!$D$2:$D$114=$A13)*(Plantillas!$G$2:$G$114*N(R$6)+Plantillas!$H$2:$H$114)))</f>
        <v>0</v>
      </c>
      <c r="S13" s="20" t="n">
        <f aca="false">SUM(E13:R13)</f>
        <v>1</v>
      </c>
      <c r="T13" s="21" t="str">
        <f aca="false">IF(INDEX(Partidas!$F$2:$F$99,MATCH(A13,Partidas!$A$2:$A$99,0))="","",INDEX(Partidas!$F$2:$F$99,MATCH(A13,Partidas!$A$2:$A$99,0)))</f>
        <v/>
      </c>
      <c r="U13" s="22" t="n">
        <f aca="false">IF(T13="",0,S13*T13)</f>
        <v>0</v>
      </c>
    </row>
    <row r="14" customFormat="false" ht="15" hidden="false" customHeight="false" outlineLevel="0" collapsed="false">
      <c r="A14" s="17" t="s">
        <v>34</v>
      </c>
      <c r="B14" s="18"/>
      <c r="C14" s="17" t="s">
        <v>35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9" t="n">
        <f aca="false">SUM(U15:U26)</f>
        <v>788</v>
      </c>
    </row>
    <row r="15" customFormat="false" ht="15" hidden="false" customHeight="false" outlineLevel="0" collapsed="false">
      <c r="A15" s="0" t="s">
        <v>103</v>
      </c>
      <c r="B15" s="0" t="s">
        <v>34</v>
      </c>
      <c r="C15" s="9" t="str">
        <f aca="false">INDEX(Partidas!$D$2:$D$99,MATCH(A15,Partidas!$A$2:$A$99,0))</f>
        <v>Desmontaje de mobiliario existente</v>
      </c>
      <c r="D15" s="9" t="str">
        <f aca="false">INDEX(Partidas!$C$2:$C$99,MATCH(A15,Partidas!$A$2:$A$99,0))</f>
        <v>pa</v>
      </c>
      <c r="E15" s="20" t="n">
        <f aca="false">IF(E$5="",0,SUMPRODUCT((Plantillas!$A$2:$A$114=E$5)*(Plantillas!$D$2:$D$114=$A15)*(Plantillas!$G$2:$G$114*N(E$6)+Plantillas!$H$2:$H$114)))</f>
        <v>1</v>
      </c>
      <c r="F15" s="20" t="n">
        <f aca="false">IF(F$5="",0,SUMPRODUCT((Plantillas!$A$2:$A$114=F$5)*(Plantillas!$D$2:$D$114=$A15)*(Plantillas!$G$2:$G$114*N(F$6)+Plantillas!$H$2:$H$114)))</f>
        <v>0</v>
      </c>
      <c r="G15" s="20" t="n">
        <f aca="false">IF(G$5="",0,SUMPRODUCT((Plantillas!$A$2:$A$114=G$5)*(Plantillas!$D$2:$D$114=$A15)*(Plantillas!$G$2:$G$114*N(G$6)+Plantillas!$H$2:$H$114)))</f>
        <v>0</v>
      </c>
      <c r="H15" s="20" t="n">
        <f aca="false">IF(H$5="",0,SUMPRODUCT((Plantillas!$A$2:$A$114=H$5)*(Plantillas!$D$2:$D$114=$A15)*(Plantillas!$G$2:$G$114*N(H$6)+Plantillas!$H$2:$H$114)))</f>
        <v>0</v>
      </c>
      <c r="I15" s="20" t="n">
        <f aca="false">IF(I$5="",0,SUMPRODUCT((Plantillas!$A$2:$A$114=I$5)*(Plantillas!$D$2:$D$114=$A15)*(Plantillas!$G$2:$G$114*N(I$6)+Plantillas!$H$2:$H$114)))</f>
        <v>0</v>
      </c>
      <c r="J15" s="20" t="n">
        <f aca="false">IF(J$5="",0,SUMPRODUCT((Plantillas!$A$2:$A$114=J$5)*(Plantillas!$D$2:$D$114=$A15)*(Plantillas!$G$2:$G$114*N(J$6)+Plantillas!$H$2:$H$114)))</f>
        <v>0</v>
      </c>
      <c r="K15" s="20" t="n">
        <f aca="false">IF(K$5="",0,SUMPRODUCT((Plantillas!$A$2:$A$114=K$5)*(Plantillas!$D$2:$D$114=$A15)*(Plantillas!$G$2:$G$114*N(K$6)+Plantillas!$H$2:$H$114)))</f>
        <v>0</v>
      </c>
      <c r="L15" s="20" t="n">
        <f aca="false">IF(L$5="",0,SUMPRODUCT((Plantillas!$A$2:$A$114=L$5)*(Plantillas!$D$2:$D$114=$A15)*(Plantillas!$G$2:$G$114*N(L$6)+Plantillas!$H$2:$H$114)))</f>
        <v>0</v>
      </c>
      <c r="M15" s="20" t="n">
        <f aca="false">IF(M$5="",0,SUMPRODUCT((Plantillas!$A$2:$A$114=M$5)*(Plantillas!$D$2:$D$114=$A15)*(Plantillas!$G$2:$G$114*N(M$6)+Plantillas!$H$2:$H$114)))</f>
        <v>0</v>
      </c>
      <c r="N15" s="20" t="n">
        <f aca="false">IF(N$5="",0,SUMPRODUCT((Plantillas!$A$2:$A$114=N$5)*(Plantillas!$D$2:$D$114=$A15)*(Plantillas!$G$2:$G$114*N(N$6)+Plantillas!$H$2:$H$114)))</f>
        <v>0</v>
      </c>
      <c r="O15" s="20" t="n">
        <f aca="false">IF(O$5="",0,SUMPRODUCT((Plantillas!$A$2:$A$114=O$5)*(Plantillas!$D$2:$D$114=$A15)*(Plantillas!$G$2:$G$114*N(O$6)+Plantillas!$H$2:$H$114)))</f>
        <v>0</v>
      </c>
      <c r="P15" s="20" t="n">
        <f aca="false">IF(P$5="",0,SUMPRODUCT((Plantillas!$A$2:$A$114=P$5)*(Plantillas!$D$2:$D$114=$A15)*(Plantillas!$G$2:$G$114*N(P$6)+Plantillas!$H$2:$H$114)))</f>
        <v>0</v>
      </c>
      <c r="Q15" s="20" t="n">
        <f aca="false">IF(Q$5="",0,SUMPRODUCT((Plantillas!$A$2:$A$114=Q$5)*(Plantillas!$D$2:$D$114=$A15)*(Plantillas!$G$2:$G$114*N(Q$6)+Plantillas!$H$2:$H$114)))</f>
        <v>0</v>
      </c>
      <c r="R15" s="20" t="n">
        <f aca="false">IF(R$5="",0,SUMPRODUCT((Plantillas!$A$2:$A$114=R$5)*(Plantillas!$D$2:$D$114=$A15)*(Plantillas!$G$2:$G$114*N(R$6)+Plantillas!$H$2:$H$114)))</f>
        <v>0</v>
      </c>
      <c r="S15" s="20" t="n">
        <f aca="false">SUM(E15:R15)</f>
        <v>1</v>
      </c>
      <c r="T15" s="21" t="n">
        <f aca="false">IF(INDEX(Partidas!$F$2:$F$99,MATCH(A15,Partidas!$A$2:$A$99,0))="","",INDEX(Partidas!$F$2:$F$99,MATCH(A15,Partidas!$A$2:$A$99,0)))</f>
        <v>500</v>
      </c>
      <c r="U15" s="22" t="n">
        <f aca="false">IF(T15="",0,S15*T15)</f>
        <v>500</v>
      </c>
    </row>
    <row r="16" customFormat="false" ht="15" hidden="false" customHeight="false" outlineLevel="0" collapsed="false">
      <c r="A16" s="0" t="s">
        <v>107</v>
      </c>
      <c r="B16" s="0" t="s">
        <v>34</v>
      </c>
      <c r="C16" s="9" t="str">
        <f aca="false">INDEX(Partidas!$D$2:$D$99,MATCH(A16,Partidas!$A$2:$A$99,0))</f>
        <v>Desmontaje de carpintería exterior</v>
      </c>
      <c r="D16" s="9" t="str">
        <f aca="false">INDEX(Partidas!$C$2:$C$99,MATCH(A16,Partidas!$A$2:$A$99,0))</f>
        <v>ud</v>
      </c>
      <c r="E16" s="20" t="n">
        <f aca="false">IF(E$5="",0,SUMPRODUCT((Plantillas!$A$2:$A$114=E$5)*(Plantillas!$D$2:$D$114=$A16)*(Plantillas!$G$2:$G$114*N(E$6)+Plantillas!$H$2:$H$114)))</f>
        <v>0</v>
      </c>
      <c r="F16" s="20" t="n">
        <f aca="false">IF(F$5="",0,SUMPRODUCT((Plantillas!$A$2:$A$114=F$5)*(Plantillas!$D$2:$D$114=$A16)*(Plantillas!$G$2:$G$114*N(F$6)+Plantillas!$H$2:$H$114)))</f>
        <v>0</v>
      </c>
      <c r="G16" s="20" t="n">
        <f aca="false">IF(G$5="",0,SUMPRODUCT((Plantillas!$A$2:$A$114=G$5)*(Plantillas!$D$2:$D$114=$A16)*(Plantillas!$G$2:$G$114*N(G$6)+Plantillas!$H$2:$H$114)))</f>
        <v>0</v>
      </c>
      <c r="H16" s="20" t="n">
        <f aca="false">IF(H$5="",0,SUMPRODUCT((Plantillas!$A$2:$A$114=H$5)*(Plantillas!$D$2:$D$114=$A16)*(Plantillas!$G$2:$G$114*N(H$6)+Plantillas!$H$2:$H$114)))</f>
        <v>0</v>
      </c>
      <c r="I16" s="20" t="n">
        <f aca="false">IF(I$5="",0,SUMPRODUCT((Plantillas!$A$2:$A$114=I$5)*(Plantillas!$D$2:$D$114=$A16)*(Plantillas!$G$2:$G$114*N(I$6)+Plantillas!$H$2:$H$114)))</f>
        <v>0</v>
      </c>
      <c r="J16" s="20" t="n">
        <f aca="false">IF(J$5="",0,SUMPRODUCT((Plantillas!$A$2:$A$114=J$5)*(Plantillas!$D$2:$D$114=$A16)*(Plantillas!$G$2:$G$114*N(J$6)+Plantillas!$H$2:$H$114)))</f>
        <v>0</v>
      </c>
      <c r="K16" s="20" t="n">
        <f aca="false">IF(K$5="",0,SUMPRODUCT((Plantillas!$A$2:$A$114=K$5)*(Plantillas!$D$2:$D$114=$A16)*(Plantillas!$G$2:$G$114*N(K$6)+Plantillas!$H$2:$H$114)))</f>
        <v>0</v>
      </c>
      <c r="L16" s="20" t="n">
        <f aca="false">IF(L$5="",0,SUMPRODUCT((Plantillas!$A$2:$A$114=L$5)*(Plantillas!$D$2:$D$114=$A16)*(Plantillas!$G$2:$G$114*N(L$6)+Plantillas!$H$2:$H$114)))</f>
        <v>0</v>
      </c>
      <c r="M16" s="20" t="n">
        <f aca="false">IF(M$5="",0,SUMPRODUCT((Plantillas!$A$2:$A$114=M$5)*(Plantillas!$D$2:$D$114=$A16)*(Plantillas!$G$2:$G$114*N(M$6)+Plantillas!$H$2:$H$114)))</f>
        <v>0</v>
      </c>
      <c r="N16" s="20" t="n">
        <f aca="false">IF(N$5="",0,SUMPRODUCT((Plantillas!$A$2:$A$114=N$5)*(Plantillas!$D$2:$D$114=$A16)*(Plantillas!$G$2:$G$114*N(N$6)+Plantillas!$H$2:$H$114)))</f>
        <v>0</v>
      </c>
      <c r="O16" s="20" t="n">
        <f aca="false">IF(O$5="",0,SUMPRODUCT((Plantillas!$A$2:$A$114=O$5)*(Plantillas!$D$2:$D$114=$A16)*(Plantillas!$G$2:$G$114*N(O$6)+Plantillas!$H$2:$H$114)))</f>
        <v>0</v>
      </c>
      <c r="P16" s="20" t="n">
        <f aca="false">IF(P$5="",0,SUMPRODUCT((Plantillas!$A$2:$A$114=P$5)*(Plantillas!$D$2:$D$114=$A16)*(Plantillas!$G$2:$G$114*N(P$6)+Plantillas!$H$2:$H$114)))</f>
        <v>9</v>
      </c>
      <c r="Q16" s="20" t="n">
        <f aca="false">IF(Q$5="",0,SUMPRODUCT((Plantillas!$A$2:$A$114=Q$5)*(Plantillas!$D$2:$D$114=$A16)*(Plantillas!$G$2:$G$114*N(Q$6)+Plantillas!$H$2:$H$114)))</f>
        <v>0</v>
      </c>
      <c r="R16" s="20" t="n">
        <f aca="false">IF(R$5="",0,SUMPRODUCT((Plantillas!$A$2:$A$114=R$5)*(Plantillas!$D$2:$D$114=$A16)*(Plantillas!$G$2:$G$114*N(R$6)+Plantillas!$H$2:$H$114)))</f>
        <v>0</v>
      </c>
      <c r="S16" s="20" t="n">
        <f aca="false">SUM(E16:R16)</f>
        <v>9</v>
      </c>
      <c r="T16" s="21" t="n">
        <f aca="false">IF(INDEX(Partidas!$F$2:$F$99,MATCH(A16,Partidas!$A$2:$A$99,0))="","",INDEX(Partidas!$F$2:$F$99,MATCH(A16,Partidas!$A$2:$A$99,0)))</f>
        <v>32</v>
      </c>
      <c r="U16" s="22" t="n">
        <f aca="false">IF(T16="",0,S16*T16)</f>
        <v>288</v>
      </c>
    </row>
    <row r="17" customFormat="false" ht="15" hidden="false" customHeight="false" outlineLevel="0" collapsed="false">
      <c r="A17" s="0" t="s">
        <v>112</v>
      </c>
      <c r="B17" s="0" t="s">
        <v>34</v>
      </c>
      <c r="C17" s="9" t="str">
        <f aca="false">INDEX(Partidas!$D$2:$D$99,MATCH(A17,Partidas!$A$2:$A$99,0))</f>
        <v>Ajuste de hueco en fachada (ampliación o reducción)</v>
      </c>
      <c r="D17" s="9" t="str">
        <f aca="false">INDEX(Partidas!$C$2:$C$99,MATCH(A17,Partidas!$A$2:$A$99,0))</f>
        <v>m2</v>
      </c>
      <c r="E17" s="20" t="n">
        <f aca="false">IF(E$5="",0,SUMPRODUCT((Plantillas!$A$2:$A$114=E$5)*(Plantillas!$D$2:$D$114=$A17)*(Plantillas!$G$2:$G$114*N(E$6)+Plantillas!$H$2:$H$114)))</f>
        <v>0</v>
      </c>
      <c r="F17" s="20" t="n">
        <f aca="false">IF(F$5="",0,SUMPRODUCT((Plantillas!$A$2:$A$114=F$5)*(Plantillas!$D$2:$D$114=$A17)*(Plantillas!$G$2:$G$114*N(F$6)+Plantillas!$H$2:$H$114)))</f>
        <v>0</v>
      </c>
      <c r="G17" s="20" t="n">
        <f aca="false">IF(G$5="",0,SUMPRODUCT((Plantillas!$A$2:$A$114=G$5)*(Plantillas!$D$2:$D$114=$A17)*(Plantillas!$G$2:$G$114*N(G$6)+Plantillas!$H$2:$H$114)))</f>
        <v>0</v>
      </c>
      <c r="H17" s="20" t="n">
        <f aca="false">IF(H$5="",0,SUMPRODUCT((Plantillas!$A$2:$A$114=H$5)*(Plantillas!$D$2:$D$114=$A17)*(Plantillas!$G$2:$G$114*N(H$6)+Plantillas!$H$2:$H$114)))</f>
        <v>0</v>
      </c>
      <c r="I17" s="20" t="n">
        <f aca="false">IF(I$5="",0,SUMPRODUCT((Plantillas!$A$2:$A$114=I$5)*(Plantillas!$D$2:$D$114=$A17)*(Plantillas!$G$2:$G$114*N(I$6)+Plantillas!$H$2:$H$114)))</f>
        <v>0</v>
      </c>
      <c r="J17" s="20" t="n">
        <f aca="false">IF(J$5="",0,SUMPRODUCT((Plantillas!$A$2:$A$114=J$5)*(Plantillas!$D$2:$D$114=$A17)*(Plantillas!$G$2:$G$114*N(J$6)+Plantillas!$H$2:$H$114)))</f>
        <v>0</v>
      </c>
      <c r="K17" s="20" t="n">
        <f aca="false">IF(K$5="",0,SUMPRODUCT((Plantillas!$A$2:$A$114=K$5)*(Plantillas!$D$2:$D$114=$A17)*(Plantillas!$G$2:$G$114*N(K$6)+Plantillas!$H$2:$H$114)))</f>
        <v>0</v>
      </c>
      <c r="L17" s="20" t="n">
        <f aca="false">IF(L$5="",0,SUMPRODUCT((Plantillas!$A$2:$A$114=L$5)*(Plantillas!$D$2:$D$114=$A17)*(Plantillas!$G$2:$G$114*N(L$6)+Plantillas!$H$2:$H$114)))</f>
        <v>0</v>
      </c>
      <c r="M17" s="20" t="n">
        <f aca="false">IF(M$5="",0,SUMPRODUCT((Plantillas!$A$2:$A$114=M$5)*(Plantillas!$D$2:$D$114=$A17)*(Plantillas!$G$2:$G$114*N(M$6)+Plantillas!$H$2:$H$114)))</f>
        <v>0</v>
      </c>
      <c r="N17" s="20" t="n">
        <f aca="false">IF(N$5="",0,SUMPRODUCT((Plantillas!$A$2:$A$114=N$5)*(Plantillas!$D$2:$D$114=$A17)*(Plantillas!$G$2:$G$114*N(N$6)+Plantillas!$H$2:$H$114)))</f>
        <v>0</v>
      </c>
      <c r="O17" s="20" t="n">
        <f aca="false">IF(O$5="",0,SUMPRODUCT((Plantillas!$A$2:$A$114=O$5)*(Plantillas!$D$2:$D$114=$A17)*(Plantillas!$G$2:$G$114*N(O$6)+Plantillas!$H$2:$H$114)))</f>
        <v>0</v>
      </c>
      <c r="P17" s="20" t="n">
        <f aca="false">IF(P$5="",0,SUMPRODUCT((Plantillas!$A$2:$A$114=P$5)*(Plantillas!$D$2:$D$114=$A17)*(Plantillas!$G$2:$G$114*N(P$6)+Plantillas!$H$2:$H$114)))</f>
        <v>0</v>
      </c>
      <c r="Q17" s="20" t="n">
        <f aca="false">IF(Q$5="",0,SUMPRODUCT((Plantillas!$A$2:$A$114=Q$5)*(Plantillas!$D$2:$D$114=$A17)*(Plantillas!$G$2:$G$114*N(Q$6)+Plantillas!$H$2:$H$114)))</f>
        <v>0</v>
      </c>
      <c r="R17" s="20" t="n">
        <f aca="false">IF(R$5="",0,SUMPRODUCT((Plantillas!$A$2:$A$114=R$5)*(Plantillas!$D$2:$D$114=$A17)*(Plantillas!$G$2:$G$114*N(R$6)+Plantillas!$H$2:$H$114)))</f>
        <v>0</v>
      </c>
      <c r="S17" s="20" t="n">
        <f aca="false">SUM(E17:R17)</f>
        <v>0</v>
      </c>
      <c r="T17" s="21" t="n">
        <f aca="false">IF(INDEX(Partidas!$F$2:$F$99,MATCH(A17,Partidas!$A$2:$A$99,0))="","",INDEX(Partidas!$F$2:$F$99,MATCH(A17,Partidas!$A$2:$A$99,0)))</f>
        <v>24</v>
      </c>
      <c r="U17" s="22" t="n">
        <f aca="false">IF(T17="",0,S17*T17)</f>
        <v>0</v>
      </c>
    </row>
    <row r="18" customFormat="false" ht="15" hidden="false" customHeight="false" outlineLevel="0" collapsed="false">
      <c r="A18" s="0" t="s">
        <v>117</v>
      </c>
      <c r="B18" s="0" t="s">
        <v>34</v>
      </c>
      <c r="C18" s="9" t="str">
        <f aca="false">INDEX(Partidas!$D$2:$D$99,MATCH(A18,Partidas!$A$2:$A$99,0))</f>
        <v>Demolición de tabique de placa de yeso laminado</v>
      </c>
      <c r="D18" s="9" t="str">
        <f aca="false">INDEX(Partidas!$C$2:$C$99,MATCH(A18,Partidas!$A$2:$A$99,0))</f>
        <v>m2</v>
      </c>
      <c r="E18" s="20" t="n">
        <f aca="false">IF(E$5="",0,SUMPRODUCT((Plantillas!$A$2:$A$114=E$5)*(Plantillas!$D$2:$D$114=$A18)*(Plantillas!$G$2:$G$114*N(E$6)+Plantillas!$H$2:$H$114)))</f>
        <v>0</v>
      </c>
      <c r="F18" s="20" t="n">
        <f aca="false">IF(F$5="",0,SUMPRODUCT((Plantillas!$A$2:$A$114=F$5)*(Plantillas!$D$2:$D$114=$A18)*(Plantillas!$G$2:$G$114*N(F$6)+Plantillas!$H$2:$H$114)))</f>
        <v>0</v>
      </c>
      <c r="G18" s="20" t="n">
        <f aca="false">IF(G$5="",0,SUMPRODUCT((Plantillas!$A$2:$A$114=G$5)*(Plantillas!$D$2:$D$114=$A18)*(Plantillas!$G$2:$G$114*N(G$6)+Plantillas!$H$2:$H$114)))</f>
        <v>0</v>
      </c>
      <c r="H18" s="20" t="n">
        <f aca="false">IF(H$5="",0,SUMPRODUCT((Plantillas!$A$2:$A$114=H$5)*(Plantillas!$D$2:$D$114=$A18)*(Plantillas!$G$2:$G$114*N(H$6)+Plantillas!$H$2:$H$114)))</f>
        <v>0</v>
      </c>
      <c r="I18" s="20" t="n">
        <f aca="false">IF(I$5="",0,SUMPRODUCT((Plantillas!$A$2:$A$114=I$5)*(Plantillas!$D$2:$D$114=$A18)*(Plantillas!$G$2:$G$114*N(I$6)+Plantillas!$H$2:$H$114)))</f>
        <v>0</v>
      </c>
      <c r="J18" s="20" t="n">
        <f aca="false">IF(J$5="",0,SUMPRODUCT((Plantillas!$A$2:$A$114=J$5)*(Plantillas!$D$2:$D$114=$A18)*(Plantillas!$G$2:$G$114*N(J$6)+Plantillas!$H$2:$H$114)))</f>
        <v>0</v>
      </c>
      <c r="K18" s="20" t="n">
        <f aca="false">IF(K$5="",0,SUMPRODUCT((Plantillas!$A$2:$A$114=K$5)*(Plantillas!$D$2:$D$114=$A18)*(Plantillas!$G$2:$G$114*N(K$6)+Plantillas!$H$2:$H$114)))</f>
        <v>0</v>
      </c>
      <c r="L18" s="20" t="n">
        <f aca="false">IF(L$5="",0,SUMPRODUCT((Plantillas!$A$2:$A$114=L$5)*(Plantillas!$D$2:$D$114=$A18)*(Plantillas!$G$2:$G$114*N(L$6)+Plantillas!$H$2:$H$114)))</f>
        <v>0</v>
      </c>
      <c r="M18" s="20" t="n">
        <f aca="false">IF(M$5="",0,SUMPRODUCT((Plantillas!$A$2:$A$114=M$5)*(Plantillas!$D$2:$D$114=$A18)*(Plantillas!$G$2:$G$114*N(M$6)+Plantillas!$H$2:$H$114)))</f>
        <v>0</v>
      </c>
      <c r="N18" s="20" t="n">
        <f aca="false">IF(N$5="",0,SUMPRODUCT((Plantillas!$A$2:$A$114=N$5)*(Plantillas!$D$2:$D$114=$A18)*(Plantillas!$G$2:$G$114*N(N$6)+Plantillas!$H$2:$H$114)))</f>
        <v>0</v>
      </c>
      <c r="O18" s="20" t="n">
        <f aca="false">IF(O$5="",0,SUMPRODUCT((Plantillas!$A$2:$A$114=O$5)*(Plantillas!$D$2:$D$114=$A18)*(Plantillas!$G$2:$G$114*N(O$6)+Plantillas!$H$2:$H$114)))</f>
        <v>0</v>
      </c>
      <c r="P18" s="20" t="n">
        <f aca="false">IF(P$5="",0,SUMPRODUCT((Plantillas!$A$2:$A$114=P$5)*(Plantillas!$D$2:$D$114=$A18)*(Plantillas!$G$2:$G$114*N(P$6)+Plantillas!$H$2:$H$114)))</f>
        <v>0</v>
      </c>
      <c r="Q18" s="20" t="n">
        <f aca="false">IF(Q$5="",0,SUMPRODUCT((Plantillas!$A$2:$A$114=Q$5)*(Plantillas!$D$2:$D$114=$A18)*(Plantillas!$G$2:$G$114*N(Q$6)+Plantillas!$H$2:$H$114)))</f>
        <v>0</v>
      </c>
      <c r="R18" s="20" t="n">
        <f aca="false">IF(R$5="",0,SUMPRODUCT((Plantillas!$A$2:$A$114=R$5)*(Plantillas!$D$2:$D$114=$A18)*(Plantillas!$G$2:$G$114*N(R$6)+Plantillas!$H$2:$H$114)))</f>
        <v>0</v>
      </c>
      <c r="S18" s="20" t="n">
        <f aca="false">SUM(E18:R18)</f>
        <v>0</v>
      </c>
      <c r="T18" s="21" t="n">
        <f aca="false">IF(INDEX(Partidas!$F$2:$F$99,MATCH(A18,Partidas!$A$2:$A$99,0))="","",INDEX(Partidas!$F$2:$F$99,MATCH(A18,Partidas!$A$2:$A$99,0)))</f>
        <v>16</v>
      </c>
      <c r="U18" s="22" t="n">
        <f aca="false">IF(T18="",0,S18*T18)</f>
        <v>0</v>
      </c>
    </row>
    <row r="19" customFormat="false" ht="15" hidden="false" customHeight="false" outlineLevel="0" collapsed="false">
      <c r="A19" s="0" t="s">
        <v>121</v>
      </c>
      <c r="B19" s="0" t="s">
        <v>34</v>
      </c>
      <c r="C19" s="9" t="str">
        <f aca="false">INDEX(Partidas!$D$2:$D$99,MATCH(A19,Partidas!$A$2:$A$99,0))</f>
        <v>Demolición de tabique de ladrillo</v>
      </c>
      <c r="D19" s="9" t="str">
        <f aca="false">INDEX(Partidas!$C$2:$C$99,MATCH(A19,Partidas!$A$2:$A$99,0))</f>
        <v>m2</v>
      </c>
      <c r="E19" s="20" t="n">
        <f aca="false">IF(E$5="",0,SUMPRODUCT((Plantillas!$A$2:$A$114=E$5)*(Plantillas!$D$2:$D$114=$A19)*(Plantillas!$G$2:$G$114*N(E$6)+Plantillas!$H$2:$H$114)))</f>
        <v>0</v>
      </c>
      <c r="F19" s="20" t="n">
        <f aca="false">IF(F$5="",0,SUMPRODUCT((Plantillas!$A$2:$A$114=F$5)*(Plantillas!$D$2:$D$114=$A19)*(Plantillas!$G$2:$G$114*N(F$6)+Plantillas!$H$2:$H$114)))</f>
        <v>0</v>
      </c>
      <c r="G19" s="20" t="n">
        <f aca="false">IF(G$5="",0,SUMPRODUCT((Plantillas!$A$2:$A$114=G$5)*(Plantillas!$D$2:$D$114=$A19)*(Plantillas!$G$2:$G$114*N(G$6)+Plantillas!$H$2:$H$114)))</f>
        <v>0</v>
      </c>
      <c r="H19" s="20" t="n">
        <f aca="false">IF(H$5="",0,SUMPRODUCT((Plantillas!$A$2:$A$114=H$5)*(Plantillas!$D$2:$D$114=$A19)*(Plantillas!$G$2:$G$114*N(H$6)+Plantillas!$H$2:$H$114)))</f>
        <v>0</v>
      </c>
      <c r="I19" s="20" t="n">
        <f aca="false">IF(I$5="",0,SUMPRODUCT((Plantillas!$A$2:$A$114=I$5)*(Plantillas!$D$2:$D$114=$A19)*(Plantillas!$G$2:$G$114*N(I$6)+Plantillas!$H$2:$H$114)))</f>
        <v>0</v>
      </c>
      <c r="J19" s="20" t="n">
        <f aca="false">IF(J$5="",0,SUMPRODUCT((Plantillas!$A$2:$A$114=J$5)*(Plantillas!$D$2:$D$114=$A19)*(Plantillas!$G$2:$G$114*N(J$6)+Plantillas!$H$2:$H$114)))</f>
        <v>0</v>
      </c>
      <c r="K19" s="20" t="n">
        <f aca="false">IF(K$5="",0,SUMPRODUCT((Plantillas!$A$2:$A$114=K$5)*(Plantillas!$D$2:$D$114=$A19)*(Plantillas!$G$2:$G$114*N(K$6)+Plantillas!$H$2:$H$114)))</f>
        <v>0</v>
      </c>
      <c r="L19" s="20" t="n">
        <f aca="false">IF(L$5="",0,SUMPRODUCT((Plantillas!$A$2:$A$114=L$5)*(Plantillas!$D$2:$D$114=$A19)*(Plantillas!$G$2:$G$114*N(L$6)+Plantillas!$H$2:$H$114)))</f>
        <v>0</v>
      </c>
      <c r="M19" s="20" t="n">
        <f aca="false">IF(M$5="",0,SUMPRODUCT((Plantillas!$A$2:$A$114=M$5)*(Plantillas!$D$2:$D$114=$A19)*(Plantillas!$G$2:$G$114*N(M$6)+Plantillas!$H$2:$H$114)))</f>
        <v>0</v>
      </c>
      <c r="N19" s="20" t="n">
        <f aca="false">IF(N$5="",0,SUMPRODUCT((Plantillas!$A$2:$A$114=N$5)*(Plantillas!$D$2:$D$114=$A19)*(Plantillas!$G$2:$G$114*N(N$6)+Plantillas!$H$2:$H$114)))</f>
        <v>0</v>
      </c>
      <c r="O19" s="20" t="n">
        <f aca="false">IF(O$5="",0,SUMPRODUCT((Plantillas!$A$2:$A$114=O$5)*(Plantillas!$D$2:$D$114=$A19)*(Plantillas!$G$2:$G$114*N(O$6)+Plantillas!$H$2:$H$114)))</f>
        <v>0</v>
      </c>
      <c r="P19" s="20" t="n">
        <f aca="false">IF(P$5="",0,SUMPRODUCT((Plantillas!$A$2:$A$114=P$5)*(Plantillas!$D$2:$D$114=$A19)*(Plantillas!$G$2:$G$114*N(P$6)+Plantillas!$H$2:$H$114)))</f>
        <v>0</v>
      </c>
      <c r="Q19" s="20" t="n">
        <f aca="false">IF(Q$5="",0,SUMPRODUCT((Plantillas!$A$2:$A$114=Q$5)*(Plantillas!$D$2:$D$114=$A19)*(Plantillas!$G$2:$G$114*N(Q$6)+Plantillas!$H$2:$H$114)))</f>
        <v>0</v>
      </c>
      <c r="R19" s="20" t="n">
        <f aca="false">IF(R$5="",0,SUMPRODUCT((Plantillas!$A$2:$A$114=R$5)*(Plantillas!$D$2:$D$114=$A19)*(Plantillas!$G$2:$G$114*N(R$6)+Plantillas!$H$2:$H$114)))</f>
        <v>0</v>
      </c>
      <c r="S19" s="20" t="n">
        <f aca="false">SUM(E19:R19)</f>
        <v>0</v>
      </c>
      <c r="T19" s="21" t="str">
        <f aca="false">IF(INDEX(Partidas!$F$2:$F$99,MATCH(A19,Partidas!$A$2:$A$99,0))="","",INDEX(Partidas!$F$2:$F$99,MATCH(A19,Partidas!$A$2:$A$99,0)))</f>
        <v/>
      </c>
      <c r="U19" s="22" t="n">
        <f aca="false">IF(T19="",0,S19*T19)</f>
        <v>0</v>
      </c>
    </row>
    <row r="20" customFormat="false" ht="15" hidden="false" customHeight="false" outlineLevel="0" collapsed="false">
      <c r="A20" s="0" t="s">
        <v>124</v>
      </c>
      <c r="B20" s="0" t="s">
        <v>34</v>
      </c>
      <c r="C20" s="9" t="str">
        <f aca="false">INDEX(Partidas!$D$2:$D$99,MATCH(A20,Partidas!$A$2:$A$99,0))</f>
        <v>Demolición de falso techo de PYL o escayola</v>
      </c>
      <c r="D20" s="9" t="str">
        <f aca="false">INDEX(Partidas!$C$2:$C$99,MATCH(A20,Partidas!$A$2:$A$99,0))</f>
        <v>m2</v>
      </c>
      <c r="E20" s="20" t="n">
        <f aca="false">IF(E$5="",0,SUMPRODUCT((Plantillas!$A$2:$A$114=E$5)*(Plantillas!$D$2:$D$114=$A20)*(Plantillas!$G$2:$G$114*N(E$6)+Plantillas!$H$2:$H$114)))</f>
        <v>0</v>
      </c>
      <c r="F20" s="20" t="n">
        <f aca="false">IF(F$5="",0,SUMPRODUCT((Plantillas!$A$2:$A$114=F$5)*(Plantillas!$D$2:$D$114=$A20)*(Plantillas!$G$2:$G$114*N(F$6)+Plantillas!$H$2:$H$114)))</f>
        <v>0</v>
      </c>
      <c r="G20" s="20" t="n">
        <f aca="false">IF(G$5="",0,SUMPRODUCT((Plantillas!$A$2:$A$114=G$5)*(Plantillas!$D$2:$D$114=$A20)*(Plantillas!$G$2:$G$114*N(G$6)+Plantillas!$H$2:$H$114)))</f>
        <v>0</v>
      </c>
      <c r="H20" s="20" t="n">
        <f aca="false">IF(H$5="",0,SUMPRODUCT((Plantillas!$A$2:$A$114=H$5)*(Plantillas!$D$2:$D$114=$A20)*(Plantillas!$G$2:$G$114*N(H$6)+Plantillas!$H$2:$H$114)))</f>
        <v>0</v>
      </c>
      <c r="I20" s="20" t="n">
        <f aca="false">IF(I$5="",0,SUMPRODUCT((Plantillas!$A$2:$A$114=I$5)*(Plantillas!$D$2:$D$114=$A20)*(Plantillas!$G$2:$G$114*N(I$6)+Plantillas!$H$2:$H$114)))</f>
        <v>0</v>
      </c>
      <c r="J20" s="20" t="n">
        <f aca="false">IF(J$5="",0,SUMPRODUCT((Plantillas!$A$2:$A$114=J$5)*(Plantillas!$D$2:$D$114=$A20)*(Plantillas!$G$2:$G$114*N(J$6)+Plantillas!$H$2:$H$114)))</f>
        <v>0</v>
      </c>
      <c r="K20" s="20" t="n">
        <f aca="false">IF(K$5="",0,SUMPRODUCT((Plantillas!$A$2:$A$114=K$5)*(Plantillas!$D$2:$D$114=$A20)*(Plantillas!$G$2:$G$114*N(K$6)+Plantillas!$H$2:$H$114)))</f>
        <v>0</v>
      </c>
      <c r="L20" s="20" t="n">
        <f aca="false">IF(L$5="",0,SUMPRODUCT((Plantillas!$A$2:$A$114=L$5)*(Plantillas!$D$2:$D$114=$A20)*(Plantillas!$G$2:$G$114*N(L$6)+Plantillas!$H$2:$H$114)))</f>
        <v>0</v>
      </c>
      <c r="M20" s="20" t="n">
        <f aca="false">IF(M$5="",0,SUMPRODUCT((Plantillas!$A$2:$A$114=M$5)*(Plantillas!$D$2:$D$114=$A20)*(Plantillas!$G$2:$G$114*N(M$6)+Plantillas!$H$2:$H$114)))</f>
        <v>0</v>
      </c>
      <c r="N20" s="20" t="n">
        <f aca="false">IF(N$5="",0,SUMPRODUCT((Plantillas!$A$2:$A$114=N$5)*(Plantillas!$D$2:$D$114=$A20)*(Plantillas!$G$2:$G$114*N(N$6)+Plantillas!$H$2:$H$114)))</f>
        <v>0</v>
      </c>
      <c r="O20" s="20" t="n">
        <f aca="false">IF(O$5="",0,SUMPRODUCT((Plantillas!$A$2:$A$114=O$5)*(Plantillas!$D$2:$D$114=$A20)*(Plantillas!$G$2:$G$114*N(O$6)+Plantillas!$H$2:$H$114)))</f>
        <v>0</v>
      </c>
      <c r="P20" s="20" t="n">
        <f aca="false">IF(P$5="",0,SUMPRODUCT((Plantillas!$A$2:$A$114=P$5)*(Plantillas!$D$2:$D$114=$A20)*(Plantillas!$G$2:$G$114*N(P$6)+Plantillas!$H$2:$H$114)))</f>
        <v>0</v>
      </c>
      <c r="Q20" s="20" t="n">
        <f aca="false">IF(Q$5="",0,SUMPRODUCT((Plantillas!$A$2:$A$114=Q$5)*(Plantillas!$D$2:$D$114=$A20)*(Plantillas!$G$2:$G$114*N(Q$6)+Plantillas!$H$2:$H$114)))</f>
        <v>0</v>
      </c>
      <c r="R20" s="20" t="n">
        <f aca="false">IF(R$5="",0,SUMPRODUCT((Plantillas!$A$2:$A$114=R$5)*(Plantillas!$D$2:$D$114=$A20)*(Plantillas!$G$2:$G$114*N(R$6)+Plantillas!$H$2:$H$114)))</f>
        <v>0</v>
      </c>
      <c r="S20" s="20" t="n">
        <f aca="false">SUM(E20:R20)</f>
        <v>0</v>
      </c>
      <c r="T20" s="21" t="n">
        <f aca="false">IF(INDEX(Partidas!$F$2:$F$99,MATCH(A20,Partidas!$A$2:$A$99,0))="","",INDEX(Partidas!$F$2:$F$99,MATCH(A20,Partidas!$A$2:$A$99,0)))</f>
        <v>10</v>
      </c>
      <c r="U20" s="22" t="n">
        <f aca="false">IF(T20="",0,S20*T20)</f>
        <v>0</v>
      </c>
    </row>
    <row r="21" customFormat="false" ht="15" hidden="false" customHeight="false" outlineLevel="0" collapsed="false">
      <c r="A21" s="0" t="s">
        <v>127</v>
      </c>
      <c r="B21" s="0" t="s">
        <v>34</v>
      </c>
      <c r="C21" s="9" t="str">
        <f aca="false">INDEX(Partidas!$D$2:$D$99,MATCH(A21,Partidas!$A$2:$A$99,0))</f>
        <v>Desmontaje de radiador</v>
      </c>
      <c r="D21" s="9" t="str">
        <f aca="false">INDEX(Partidas!$C$2:$C$99,MATCH(A21,Partidas!$A$2:$A$99,0))</f>
        <v>ud</v>
      </c>
      <c r="E21" s="20" t="n">
        <f aca="false">IF(E$5="",0,SUMPRODUCT((Plantillas!$A$2:$A$114=E$5)*(Plantillas!$D$2:$D$114=$A21)*(Plantillas!$G$2:$G$114*N(E$6)+Plantillas!$H$2:$H$114)))</f>
        <v>0</v>
      </c>
      <c r="F21" s="20" t="n">
        <f aca="false">IF(F$5="",0,SUMPRODUCT((Plantillas!$A$2:$A$114=F$5)*(Plantillas!$D$2:$D$114=$A21)*(Plantillas!$G$2:$G$114*N(F$6)+Plantillas!$H$2:$H$114)))</f>
        <v>0</v>
      </c>
      <c r="G21" s="20" t="n">
        <f aca="false">IF(G$5="",0,SUMPRODUCT((Plantillas!$A$2:$A$114=G$5)*(Plantillas!$D$2:$D$114=$A21)*(Plantillas!$G$2:$G$114*N(G$6)+Plantillas!$H$2:$H$114)))</f>
        <v>0</v>
      </c>
      <c r="H21" s="20" t="n">
        <f aca="false">IF(H$5="",0,SUMPRODUCT((Plantillas!$A$2:$A$114=H$5)*(Plantillas!$D$2:$D$114=$A21)*(Plantillas!$G$2:$G$114*N(H$6)+Plantillas!$H$2:$H$114)))</f>
        <v>0</v>
      </c>
      <c r="I21" s="20" t="n">
        <f aca="false">IF(I$5="",0,SUMPRODUCT((Plantillas!$A$2:$A$114=I$5)*(Plantillas!$D$2:$D$114=$A21)*(Plantillas!$G$2:$G$114*N(I$6)+Plantillas!$H$2:$H$114)))</f>
        <v>0</v>
      </c>
      <c r="J21" s="20" t="n">
        <f aca="false">IF(J$5="",0,SUMPRODUCT((Plantillas!$A$2:$A$114=J$5)*(Plantillas!$D$2:$D$114=$A21)*(Plantillas!$G$2:$G$114*N(J$6)+Plantillas!$H$2:$H$114)))</f>
        <v>0</v>
      </c>
      <c r="K21" s="20" t="n">
        <f aca="false">IF(K$5="",0,SUMPRODUCT((Plantillas!$A$2:$A$114=K$5)*(Plantillas!$D$2:$D$114=$A21)*(Plantillas!$G$2:$G$114*N(K$6)+Plantillas!$H$2:$H$114)))</f>
        <v>0</v>
      </c>
      <c r="L21" s="20" t="n">
        <f aca="false">IF(L$5="",0,SUMPRODUCT((Plantillas!$A$2:$A$114=L$5)*(Plantillas!$D$2:$D$114=$A21)*(Plantillas!$G$2:$G$114*N(L$6)+Plantillas!$H$2:$H$114)))</f>
        <v>0</v>
      </c>
      <c r="M21" s="20" t="n">
        <f aca="false">IF(M$5="",0,SUMPRODUCT((Plantillas!$A$2:$A$114=M$5)*(Plantillas!$D$2:$D$114=$A21)*(Plantillas!$G$2:$G$114*N(M$6)+Plantillas!$H$2:$H$114)))</f>
        <v>0</v>
      </c>
      <c r="N21" s="20" t="n">
        <f aca="false">IF(N$5="",0,SUMPRODUCT((Plantillas!$A$2:$A$114=N$5)*(Plantillas!$D$2:$D$114=$A21)*(Plantillas!$G$2:$G$114*N(N$6)+Plantillas!$H$2:$H$114)))</f>
        <v>0</v>
      </c>
      <c r="O21" s="20" t="n">
        <f aca="false">IF(O$5="",0,SUMPRODUCT((Plantillas!$A$2:$A$114=O$5)*(Plantillas!$D$2:$D$114=$A21)*(Plantillas!$G$2:$G$114*N(O$6)+Plantillas!$H$2:$H$114)))</f>
        <v>0</v>
      </c>
      <c r="P21" s="20" t="n">
        <f aca="false">IF(P$5="",0,SUMPRODUCT((Plantillas!$A$2:$A$114=P$5)*(Plantillas!$D$2:$D$114=$A21)*(Plantillas!$G$2:$G$114*N(P$6)+Plantillas!$H$2:$H$114)))</f>
        <v>0</v>
      </c>
      <c r="Q21" s="20" t="n">
        <f aca="false">IF(Q$5="",0,SUMPRODUCT((Plantillas!$A$2:$A$114=Q$5)*(Plantillas!$D$2:$D$114=$A21)*(Plantillas!$G$2:$G$114*N(Q$6)+Plantillas!$H$2:$H$114)))</f>
        <v>0</v>
      </c>
      <c r="R21" s="20" t="n">
        <f aca="false">IF(R$5="",0,SUMPRODUCT((Plantillas!$A$2:$A$114=R$5)*(Plantillas!$D$2:$D$114=$A21)*(Plantillas!$G$2:$G$114*N(R$6)+Plantillas!$H$2:$H$114)))</f>
        <v>0</v>
      </c>
      <c r="S21" s="20" t="n">
        <f aca="false">SUM(E21:R21)</f>
        <v>0</v>
      </c>
      <c r="T21" s="21" t="n">
        <f aca="false">IF(INDEX(Partidas!$F$2:$F$99,MATCH(A21,Partidas!$A$2:$A$99,0))="","",INDEX(Partidas!$F$2:$F$99,MATCH(A21,Partidas!$A$2:$A$99,0)))</f>
        <v>60</v>
      </c>
      <c r="U21" s="22" t="n">
        <f aca="false">IF(T21="",0,S21*T21)</f>
        <v>0</v>
      </c>
    </row>
    <row r="22" customFormat="false" ht="15" hidden="false" customHeight="false" outlineLevel="0" collapsed="false">
      <c r="A22" s="0" t="s">
        <v>131</v>
      </c>
      <c r="B22" s="0" t="s">
        <v>34</v>
      </c>
      <c r="C22" s="9" t="str">
        <f aca="false">INDEX(Partidas!$D$2:$D$99,MATCH(A22,Partidas!$A$2:$A$99,0))</f>
        <v>Levantado de pavimento de madera, laminado o vinílico</v>
      </c>
      <c r="D22" s="9" t="str">
        <f aca="false">INDEX(Partidas!$C$2:$C$99,MATCH(A22,Partidas!$A$2:$A$99,0))</f>
        <v>m2</v>
      </c>
      <c r="E22" s="20" t="n">
        <f aca="false">IF(E$5="",0,SUMPRODUCT((Plantillas!$A$2:$A$114=E$5)*(Plantillas!$D$2:$D$114=$A22)*(Plantillas!$G$2:$G$114*N(E$6)+Plantillas!$H$2:$H$114)))</f>
        <v>0</v>
      </c>
      <c r="F22" s="20" t="n">
        <f aca="false">IF(F$5="",0,SUMPRODUCT((Plantillas!$A$2:$A$114=F$5)*(Plantillas!$D$2:$D$114=$A22)*(Plantillas!$G$2:$G$114*N(F$6)+Plantillas!$H$2:$H$114)))</f>
        <v>0</v>
      </c>
      <c r="G22" s="20" t="n">
        <f aca="false">IF(G$5="",0,SUMPRODUCT((Plantillas!$A$2:$A$114=G$5)*(Plantillas!$D$2:$D$114=$A22)*(Plantillas!$G$2:$G$114*N(G$6)+Plantillas!$H$2:$H$114)))</f>
        <v>0</v>
      </c>
      <c r="H22" s="20" t="n">
        <f aca="false">IF(H$5="",0,SUMPRODUCT((Plantillas!$A$2:$A$114=H$5)*(Plantillas!$D$2:$D$114=$A22)*(Plantillas!$G$2:$G$114*N(H$6)+Plantillas!$H$2:$H$114)))</f>
        <v>0</v>
      </c>
      <c r="I22" s="20" t="n">
        <f aca="false">IF(I$5="",0,SUMPRODUCT((Plantillas!$A$2:$A$114=I$5)*(Plantillas!$D$2:$D$114=$A22)*(Plantillas!$G$2:$G$114*N(I$6)+Plantillas!$H$2:$H$114)))</f>
        <v>0</v>
      </c>
      <c r="J22" s="20" t="n">
        <f aca="false">IF(J$5="",0,SUMPRODUCT((Plantillas!$A$2:$A$114=J$5)*(Plantillas!$D$2:$D$114=$A22)*(Plantillas!$G$2:$G$114*N(J$6)+Plantillas!$H$2:$H$114)))</f>
        <v>0</v>
      </c>
      <c r="K22" s="20" t="n">
        <f aca="false">IF(K$5="",0,SUMPRODUCT((Plantillas!$A$2:$A$114=K$5)*(Plantillas!$D$2:$D$114=$A22)*(Plantillas!$G$2:$G$114*N(K$6)+Plantillas!$H$2:$H$114)))</f>
        <v>0</v>
      </c>
      <c r="L22" s="20" t="n">
        <f aca="false">IF(L$5="",0,SUMPRODUCT((Plantillas!$A$2:$A$114=L$5)*(Plantillas!$D$2:$D$114=$A22)*(Plantillas!$G$2:$G$114*N(L$6)+Plantillas!$H$2:$H$114)))</f>
        <v>0</v>
      </c>
      <c r="M22" s="20" t="n">
        <f aca="false">IF(M$5="",0,SUMPRODUCT((Plantillas!$A$2:$A$114=M$5)*(Plantillas!$D$2:$D$114=$A22)*(Plantillas!$G$2:$G$114*N(M$6)+Plantillas!$H$2:$H$114)))</f>
        <v>0</v>
      </c>
      <c r="N22" s="20" t="n">
        <f aca="false">IF(N$5="",0,SUMPRODUCT((Plantillas!$A$2:$A$114=N$5)*(Plantillas!$D$2:$D$114=$A22)*(Plantillas!$G$2:$G$114*N(N$6)+Plantillas!$H$2:$H$114)))</f>
        <v>0</v>
      </c>
      <c r="O22" s="20" t="n">
        <f aca="false">IF(O$5="",0,SUMPRODUCT((Plantillas!$A$2:$A$114=O$5)*(Plantillas!$D$2:$D$114=$A22)*(Plantillas!$G$2:$G$114*N(O$6)+Plantillas!$H$2:$H$114)))</f>
        <v>0</v>
      </c>
      <c r="P22" s="20" t="n">
        <f aca="false">IF(P$5="",0,SUMPRODUCT((Plantillas!$A$2:$A$114=P$5)*(Plantillas!$D$2:$D$114=$A22)*(Plantillas!$G$2:$G$114*N(P$6)+Plantillas!$H$2:$H$114)))</f>
        <v>0</v>
      </c>
      <c r="Q22" s="20" t="n">
        <f aca="false">IF(Q$5="",0,SUMPRODUCT((Plantillas!$A$2:$A$114=Q$5)*(Plantillas!$D$2:$D$114=$A22)*(Plantillas!$G$2:$G$114*N(Q$6)+Plantillas!$H$2:$H$114)))</f>
        <v>0</v>
      </c>
      <c r="R22" s="20" t="n">
        <f aca="false">IF(R$5="",0,SUMPRODUCT((Plantillas!$A$2:$A$114=R$5)*(Plantillas!$D$2:$D$114=$A22)*(Plantillas!$G$2:$G$114*N(R$6)+Plantillas!$H$2:$H$114)))</f>
        <v>0</v>
      </c>
      <c r="S22" s="20" t="n">
        <f aca="false">SUM(E22:R22)</f>
        <v>0</v>
      </c>
      <c r="T22" s="21" t="n">
        <f aca="false">IF(INDEX(Partidas!$F$2:$F$99,MATCH(A22,Partidas!$A$2:$A$99,0))="","",INDEX(Partidas!$F$2:$F$99,MATCH(A22,Partidas!$A$2:$A$99,0)))</f>
        <v>18</v>
      </c>
      <c r="U22" s="22" t="n">
        <f aca="false">IF(T22="",0,S22*T22)</f>
        <v>0</v>
      </c>
    </row>
    <row r="23" customFormat="false" ht="15" hidden="false" customHeight="false" outlineLevel="0" collapsed="false">
      <c r="A23" s="0" t="s">
        <v>135</v>
      </c>
      <c r="B23" s="0" t="s">
        <v>34</v>
      </c>
      <c r="C23" s="9" t="str">
        <f aca="false">INDEX(Partidas!$D$2:$D$99,MATCH(A23,Partidas!$A$2:$A$99,0))</f>
        <v>Picado de alicatado y solado cerámico</v>
      </c>
      <c r="D23" s="9" t="str">
        <f aca="false">INDEX(Partidas!$C$2:$C$99,MATCH(A23,Partidas!$A$2:$A$99,0))</f>
        <v>m2</v>
      </c>
      <c r="E23" s="20" t="n">
        <f aca="false">IF(E$5="",0,SUMPRODUCT((Plantillas!$A$2:$A$114=E$5)*(Plantillas!$D$2:$D$114=$A23)*(Plantillas!$G$2:$G$114*N(E$6)+Plantillas!$H$2:$H$114)))</f>
        <v>0</v>
      </c>
      <c r="F23" s="20" t="n">
        <f aca="false">IF(F$5="",0,SUMPRODUCT((Plantillas!$A$2:$A$114=F$5)*(Plantillas!$D$2:$D$114=$A23)*(Plantillas!$G$2:$G$114*N(F$6)+Plantillas!$H$2:$H$114)))</f>
        <v>0</v>
      </c>
      <c r="G23" s="20" t="n">
        <f aca="false">IF(G$5="",0,SUMPRODUCT((Plantillas!$A$2:$A$114=G$5)*(Plantillas!$D$2:$D$114=$A23)*(Plantillas!$G$2:$G$114*N(G$6)+Plantillas!$H$2:$H$114)))</f>
        <v>0</v>
      </c>
      <c r="H23" s="20" t="n">
        <f aca="false">IF(H$5="",0,SUMPRODUCT((Plantillas!$A$2:$A$114=H$5)*(Plantillas!$D$2:$D$114=$A23)*(Plantillas!$G$2:$G$114*N(H$6)+Plantillas!$H$2:$H$114)))</f>
        <v>0</v>
      </c>
      <c r="I23" s="20" t="n">
        <f aca="false">IF(I$5="",0,SUMPRODUCT((Plantillas!$A$2:$A$114=I$5)*(Plantillas!$D$2:$D$114=$A23)*(Plantillas!$G$2:$G$114*N(I$6)+Plantillas!$H$2:$H$114)))</f>
        <v>0</v>
      </c>
      <c r="J23" s="20" t="n">
        <f aca="false">IF(J$5="",0,SUMPRODUCT((Plantillas!$A$2:$A$114=J$5)*(Plantillas!$D$2:$D$114=$A23)*(Plantillas!$G$2:$G$114*N(J$6)+Plantillas!$H$2:$H$114)))</f>
        <v>0</v>
      </c>
      <c r="K23" s="20" t="n">
        <f aca="false">IF(K$5="",0,SUMPRODUCT((Plantillas!$A$2:$A$114=K$5)*(Plantillas!$D$2:$D$114=$A23)*(Plantillas!$G$2:$G$114*N(K$6)+Plantillas!$H$2:$H$114)))</f>
        <v>0</v>
      </c>
      <c r="L23" s="20" t="n">
        <f aca="false">IF(L$5="",0,SUMPRODUCT((Plantillas!$A$2:$A$114=L$5)*(Plantillas!$D$2:$D$114=$A23)*(Plantillas!$G$2:$G$114*N(L$6)+Plantillas!$H$2:$H$114)))</f>
        <v>0</v>
      </c>
      <c r="M23" s="20" t="n">
        <f aca="false">IF(M$5="",0,SUMPRODUCT((Plantillas!$A$2:$A$114=M$5)*(Plantillas!$D$2:$D$114=$A23)*(Plantillas!$G$2:$G$114*N(M$6)+Plantillas!$H$2:$H$114)))</f>
        <v>0</v>
      </c>
      <c r="N23" s="20" t="n">
        <f aca="false">IF(N$5="",0,SUMPRODUCT((Plantillas!$A$2:$A$114=N$5)*(Plantillas!$D$2:$D$114=$A23)*(Plantillas!$G$2:$G$114*N(N$6)+Plantillas!$H$2:$H$114)))</f>
        <v>0</v>
      </c>
      <c r="O23" s="20" t="n">
        <f aca="false">IF(O$5="",0,SUMPRODUCT((Plantillas!$A$2:$A$114=O$5)*(Plantillas!$D$2:$D$114=$A23)*(Plantillas!$G$2:$G$114*N(O$6)+Plantillas!$H$2:$H$114)))</f>
        <v>0</v>
      </c>
      <c r="P23" s="20" t="n">
        <f aca="false">IF(P$5="",0,SUMPRODUCT((Plantillas!$A$2:$A$114=P$5)*(Plantillas!$D$2:$D$114=$A23)*(Plantillas!$G$2:$G$114*N(P$6)+Plantillas!$H$2:$H$114)))</f>
        <v>0</v>
      </c>
      <c r="Q23" s="20" t="n">
        <f aca="false">IF(Q$5="",0,SUMPRODUCT((Plantillas!$A$2:$A$114=Q$5)*(Plantillas!$D$2:$D$114=$A23)*(Plantillas!$G$2:$G$114*N(Q$6)+Plantillas!$H$2:$H$114)))</f>
        <v>0</v>
      </c>
      <c r="R23" s="20" t="n">
        <f aca="false">IF(R$5="",0,SUMPRODUCT((Plantillas!$A$2:$A$114=R$5)*(Plantillas!$D$2:$D$114=$A23)*(Plantillas!$G$2:$G$114*N(R$6)+Plantillas!$H$2:$H$114)))</f>
        <v>0</v>
      </c>
      <c r="S23" s="20" t="n">
        <f aca="false">SUM(E23:R23)</f>
        <v>0</v>
      </c>
      <c r="T23" s="21" t="n">
        <f aca="false">IF(INDEX(Partidas!$F$2:$F$99,MATCH(A23,Partidas!$A$2:$A$99,0))="","",INDEX(Partidas!$F$2:$F$99,MATCH(A23,Partidas!$A$2:$A$99,0)))</f>
        <v>28</v>
      </c>
      <c r="U23" s="22" t="n">
        <f aca="false">IF(T23="",0,S23*T23)</f>
        <v>0</v>
      </c>
    </row>
    <row r="24" customFormat="false" ht="15" hidden="false" customHeight="false" outlineLevel="0" collapsed="false">
      <c r="A24" s="0" t="s">
        <v>139</v>
      </c>
      <c r="B24" s="0" t="s">
        <v>34</v>
      </c>
      <c r="C24" s="9" t="str">
        <f aca="false">INDEX(Partidas!$D$2:$D$99,MATCH(A24,Partidas!$A$2:$A$99,0))</f>
        <v>Desmontaje de aparato sanitario o grifería</v>
      </c>
      <c r="D24" s="9" t="str">
        <f aca="false">INDEX(Partidas!$C$2:$C$99,MATCH(A24,Partidas!$A$2:$A$99,0))</f>
        <v>ud</v>
      </c>
      <c r="E24" s="20" t="n">
        <f aca="false">IF(E$5="",0,SUMPRODUCT((Plantillas!$A$2:$A$114=E$5)*(Plantillas!$D$2:$D$114=$A24)*(Plantillas!$G$2:$G$114*N(E$6)+Plantillas!$H$2:$H$114)))</f>
        <v>0</v>
      </c>
      <c r="F24" s="20" t="n">
        <f aca="false">IF(F$5="",0,SUMPRODUCT((Plantillas!$A$2:$A$114=F$5)*(Plantillas!$D$2:$D$114=$A24)*(Plantillas!$G$2:$G$114*N(F$6)+Plantillas!$H$2:$H$114)))</f>
        <v>0</v>
      </c>
      <c r="G24" s="20" t="n">
        <f aca="false">IF(G$5="",0,SUMPRODUCT((Plantillas!$A$2:$A$114=G$5)*(Plantillas!$D$2:$D$114=$A24)*(Plantillas!$G$2:$G$114*N(G$6)+Plantillas!$H$2:$H$114)))</f>
        <v>0</v>
      </c>
      <c r="H24" s="20" t="n">
        <f aca="false">IF(H$5="",0,SUMPRODUCT((Plantillas!$A$2:$A$114=H$5)*(Plantillas!$D$2:$D$114=$A24)*(Plantillas!$G$2:$G$114*N(H$6)+Plantillas!$H$2:$H$114)))</f>
        <v>0</v>
      </c>
      <c r="I24" s="20" t="n">
        <f aca="false">IF(I$5="",0,SUMPRODUCT((Plantillas!$A$2:$A$114=I$5)*(Plantillas!$D$2:$D$114=$A24)*(Plantillas!$G$2:$G$114*N(I$6)+Plantillas!$H$2:$H$114)))</f>
        <v>0</v>
      </c>
      <c r="J24" s="20" t="n">
        <f aca="false">IF(J$5="",0,SUMPRODUCT((Plantillas!$A$2:$A$114=J$5)*(Plantillas!$D$2:$D$114=$A24)*(Plantillas!$G$2:$G$114*N(J$6)+Plantillas!$H$2:$H$114)))</f>
        <v>0</v>
      </c>
      <c r="K24" s="20" t="n">
        <f aca="false">IF(K$5="",0,SUMPRODUCT((Plantillas!$A$2:$A$114=K$5)*(Plantillas!$D$2:$D$114=$A24)*(Plantillas!$G$2:$G$114*N(K$6)+Plantillas!$H$2:$H$114)))</f>
        <v>0</v>
      </c>
      <c r="L24" s="20" t="n">
        <f aca="false">IF(L$5="",0,SUMPRODUCT((Plantillas!$A$2:$A$114=L$5)*(Plantillas!$D$2:$D$114=$A24)*(Plantillas!$G$2:$G$114*N(L$6)+Plantillas!$H$2:$H$114)))</f>
        <v>0</v>
      </c>
      <c r="M24" s="20" t="n">
        <f aca="false">IF(M$5="",0,SUMPRODUCT((Plantillas!$A$2:$A$114=M$5)*(Plantillas!$D$2:$D$114=$A24)*(Plantillas!$G$2:$G$114*N(M$6)+Plantillas!$H$2:$H$114)))</f>
        <v>0</v>
      </c>
      <c r="N24" s="20" t="n">
        <f aca="false">IF(N$5="",0,SUMPRODUCT((Plantillas!$A$2:$A$114=N$5)*(Plantillas!$D$2:$D$114=$A24)*(Plantillas!$G$2:$G$114*N(N$6)+Plantillas!$H$2:$H$114)))</f>
        <v>0</v>
      </c>
      <c r="O24" s="20" t="n">
        <f aca="false">IF(O$5="",0,SUMPRODUCT((Plantillas!$A$2:$A$114=O$5)*(Plantillas!$D$2:$D$114=$A24)*(Plantillas!$G$2:$G$114*N(O$6)+Plantillas!$H$2:$H$114)))</f>
        <v>0</v>
      </c>
      <c r="P24" s="20" t="n">
        <f aca="false">IF(P$5="",0,SUMPRODUCT((Plantillas!$A$2:$A$114=P$5)*(Plantillas!$D$2:$D$114=$A24)*(Plantillas!$G$2:$G$114*N(P$6)+Plantillas!$H$2:$H$114)))</f>
        <v>0</v>
      </c>
      <c r="Q24" s="20" t="n">
        <f aca="false">IF(Q$5="",0,SUMPRODUCT((Plantillas!$A$2:$A$114=Q$5)*(Plantillas!$D$2:$D$114=$A24)*(Plantillas!$G$2:$G$114*N(Q$6)+Plantillas!$H$2:$H$114)))</f>
        <v>0</v>
      </c>
      <c r="R24" s="20" t="n">
        <f aca="false">IF(R$5="",0,SUMPRODUCT((Plantillas!$A$2:$A$114=R$5)*(Plantillas!$D$2:$D$114=$A24)*(Plantillas!$G$2:$G$114*N(R$6)+Plantillas!$H$2:$H$114)))</f>
        <v>0</v>
      </c>
      <c r="S24" s="20" t="n">
        <f aca="false">SUM(E24:R24)</f>
        <v>0</v>
      </c>
      <c r="T24" s="21" t="str">
        <f aca="false">IF(INDEX(Partidas!$F$2:$F$99,MATCH(A24,Partidas!$A$2:$A$99,0))="","",INDEX(Partidas!$F$2:$F$99,MATCH(A24,Partidas!$A$2:$A$99,0)))</f>
        <v/>
      </c>
      <c r="U24" s="22" t="n">
        <f aca="false">IF(T24="",0,S24*T24)</f>
        <v>0</v>
      </c>
    </row>
    <row r="25" customFormat="false" ht="15" hidden="false" customHeight="false" outlineLevel="0" collapsed="false">
      <c r="A25" s="0" t="s">
        <v>142</v>
      </c>
      <c r="B25" s="0" t="s">
        <v>34</v>
      </c>
      <c r="C25" s="9" t="str">
        <f aca="false">INDEX(Partidas!$D$2:$D$99,MATCH(A25,Partidas!$A$2:$A$99,0))</f>
        <v>Desmontaje de puerta interior</v>
      </c>
      <c r="D25" s="9" t="str">
        <f aca="false">INDEX(Partidas!$C$2:$C$99,MATCH(A25,Partidas!$A$2:$A$99,0))</f>
        <v>ud</v>
      </c>
      <c r="E25" s="20" t="n">
        <f aca="false">IF(E$5="",0,SUMPRODUCT((Plantillas!$A$2:$A$114=E$5)*(Plantillas!$D$2:$D$114=$A25)*(Plantillas!$G$2:$G$114*N(E$6)+Plantillas!$H$2:$H$114)))</f>
        <v>0</v>
      </c>
      <c r="F25" s="20" t="n">
        <f aca="false">IF(F$5="",0,SUMPRODUCT((Plantillas!$A$2:$A$114=F$5)*(Plantillas!$D$2:$D$114=$A25)*(Plantillas!$G$2:$G$114*N(F$6)+Plantillas!$H$2:$H$114)))</f>
        <v>0</v>
      </c>
      <c r="G25" s="20" t="n">
        <f aca="false">IF(G$5="",0,SUMPRODUCT((Plantillas!$A$2:$A$114=G$5)*(Plantillas!$D$2:$D$114=$A25)*(Plantillas!$G$2:$G$114*N(G$6)+Plantillas!$H$2:$H$114)))</f>
        <v>0</v>
      </c>
      <c r="H25" s="20" t="n">
        <f aca="false">IF(H$5="",0,SUMPRODUCT((Plantillas!$A$2:$A$114=H$5)*(Plantillas!$D$2:$D$114=$A25)*(Plantillas!$G$2:$G$114*N(H$6)+Plantillas!$H$2:$H$114)))</f>
        <v>0</v>
      </c>
      <c r="I25" s="20" t="n">
        <f aca="false">IF(I$5="",0,SUMPRODUCT((Plantillas!$A$2:$A$114=I$5)*(Plantillas!$D$2:$D$114=$A25)*(Plantillas!$G$2:$G$114*N(I$6)+Plantillas!$H$2:$H$114)))</f>
        <v>0</v>
      </c>
      <c r="J25" s="20" t="n">
        <f aca="false">IF(J$5="",0,SUMPRODUCT((Plantillas!$A$2:$A$114=J$5)*(Plantillas!$D$2:$D$114=$A25)*(Plantillas!$G$2:$G$114*N(J$6)+Plantillas!$H$2:$H$114)))</f>
        <v>0</v>
      </c>
      <c r="K25" s="20" t="n">
        <f aca="false">IF(K$5="",0,SUMPRODUCT((Plantillas!$A$2:$A$114=K$5)*(Plantillas!$D$2:$D$114=$A25)*(Plantillas!$G$2:$G$114*N(K$6)+Plantillas!$H$2:$H$114)))</f>
        <v>0</v>
      </c>
      <c r="L25" s="20" t="n">
        <f aca="false">IF(L$5="",0,SUMPRODUCT((Plantillas!$A$2:$A$114=L$5)*(Plantillas!$D$2:$D$114=$A25)*(Plantillas!$G$2:$G$114*N(L$6)+Plantillas!$H$2:$H$114)))</f>
        <v>0</v>
      </c>
      <c r="M25" s="20" t="n">
        <f aca="false">IF(M$5="",0,SUMPRODUCT((Plantillas!$A$2:$A$114=M$5)*(Plantillas!$D$2:$D$114=$A25)*(Plantillas!$G$2:$G$114*N(M$6)+Plantillas!$H$2:$H$114)))</f>
        <v>0</v>
      </c>
      <c r="N25" s="20" t="n">
        <f aca="false">IF(N$5="",0,SUMPRODUCT((Plantillas!$A$2:$A$114=N$5)*(Plantillas!$D$2:$D$114=$A25)*(Plantillas!$G$2:$G$114*N(N$6)+Plantillas!$H$2:$H$114)))</f>
        <v>0</v>
      </c>
      <c r="O25" s="20" t="n">
        <f aca="false">IF(O$5="",0,SUMPRODUCT((Plantillas!$A$2:$A$114=O$5)*(Plantillas!$D$2:$D$114=$A25)*(Plantillas!$G$2:$G$114*N(O$6)+Plantillas!$H$2:$H$114)))</f>
        <v>0</v>
      </c>
      <c r="P25" s="20" t="n">
        <f aca="false">IF(P$5="",0,SUMPRODUCT((Plantillas!$A$2:$A$114=P$5)*(Plantillas!$D$2:$D$114=$A25)*(Plantillas!$G$2:$G$114*N(P$6)+Plantillas!$H$2:$H$114)))</f>
        <v>0</v>
      </c>
      <c r="Q25" s="20" t="n">
        <f aca="false">IF(Q$5="",0,SUMPRODUCT((Plantillas!$A$2:$A$114=Q$5)*(Plantillas!$D$2:$D$114=$A25)*(Plantillas!$G$2:$G$114*N(Q$6)+Plantillas!$H$2:$H$114)))</f>
        <v>0</v>
      </c>
      <c r="R25" s="20" t="n">
        <f aca="false">IF(R$5="",0,SUMPRODUCT((Plantillas!$A$2:$A$114=R$5)*(Plantillas!$D$2:$D$114=$A25)*(Plantillas!$G$2:$G$114*N(R$6)+Plantillas!$H$2:$H$114)))</f>
        <v>0</v>
      </c>
      <c r="S25" s="20" t="n">
        <f aca="false">SUM(E25:R25)</f>
        <v>0</v>
      </c>
      <c r="T25" s="21" t="str">
        <f aca="false">IF(INDEX(Partidas!$F$2:$F$99,MATCH(A25,Partidas!$A$2:$A$99,0))="","",INDEX(Partidas!$F$2:$F$99,MATCH(A25,Partidas!$A$2:$A$99,0)))</f>
        <v/>
      </c>
      <c r="U25" s="22" t="n">
        <f aca="false">IF(T25="",0,S25*T25)</f>
        <v>0</v>
      </c>
    </row>
    <row r="26" customFormat="false" ht="15" hidden="false" customHeight="false" outlineLevel="0" collapsed="false">
      <c r="A26" s="0" t="s">
        <v>145</v>
      </c>
      <c r="B26" s="0" t="s">
        <v>34</v>
      </c>
      <c r="C26" s="9" t="str">
        <f aca="false">INDEX(Partidas!$D$2:$D$99,MATCH(A26,Partidas!$A$2:$A$99,0))</f>
        <v>Levantado de instalaciones existentes</v>
      </c>
      <c r="D26" s="9" t="str">
        <f aca="false">INDEX(Partidas!$C$2:$C$99,MATCH(A26,Partidas!$A$2:$A$99,0))</f>
        <v>pa</v>
      </c>
      <c r="E26" s="20" t="n">
        <f aca="false">IF(E$5="",0,SUMPRODUCT((Plantillas!$A$2:$A$114=E$5)*(Plantillas!$D$2:$D$114=$A26)*(Plantillas!$G$2:$G$114*N(E$6)+Plantillas!$H$2:$H$114)))</f>
        <v>1</v>
      </c>
      <c r="F26" s="20" t="n">
        <f aca="false">IF(F$5="",0,SUMPRODUCT((Plantillas!$A$2:$A$114=F$5)*(Plantillas!$D$2:$D$114=$A26)*(Plantillas!$G$2:$G$114*N(F$6)+Plantillas!$H$2:$H$114)))</f>
        <v>0</v>
      </c>
      <c r="G26" s="20" t="n">
        <f aca="false">IF(G$5="",0,SUMPRODUCT((Plantillas!$A$2:$A$114=G$5)*(Plantillas!$D$2:$D$114=$A26)*(Plantillas!$G$2:$G$114*N(G$6)+Plantillas!$H$2:$H$114)))</f>
        <v>0</v>
      </c>
      <c r="H26" s="20" t="n">
        <f aca="false">IF(H$5="",0,SUMPRODUCT((Plantillas!$A$2:$A$114=H$5)*(Plantillas!$D$2:$D$114=$A26)*(Plantillas!$G$2:$G$114*N(H$6)+Plantillas!$H$2:$H$114)))</f>
        <v>0</v>
      </c>
      <c r="I26" s="20" t="n">
        <f aca="false">IF(I$5="",0,SUMPRODUCT((Plantillas!$A$2:$A$114=I$5)*(Plantillas!$D$2:$D$114=$A26)*(Plantillas!$G$2:$G$114*N(I$6)+Plantillas!$H$2:$H$114)))</f>
        <v>0</v>
      </c>
      <c r="J26" s="20" t="n">
        <f aca="false">IF(J$5="",0,SUMPRODUCT((Plantillas!$A$2:$A$114=J$5)*(Plantillas!$D$2:$D$114=$A26)*(Plantillas!$G$2:$G$114*N(J$6)+Plantillas!$H$2:$H$114)))</f>
        <v>0</v>
      </c>
      <c r="K26" s="20" t="n">
        <f aca="false">IF(K$5="",0,SUMPRODUCT((Plantillas!$A$2:$A$114=K$5)*(Plantillas!$D$2:$D$114=$A26)*(Plantillas!$G$2:$G$114*N(K$6)+Plantillas!$H$2:$H$114)))</f>
        <v>0</v>
      </c>
      <c r="L26" s="20" t="n">
        <f aca="false">IF(L$5="",0,SUMPRODUCT((Plantillas!$A$2:$A$114=L$5)*(Plantillas!$D$2:$D$114=$A26)*(Plantillas!$G$2:$G$114*N(L$6)+Plantillas!$H$2:$H$114)))</f>
        <v>0</v>
      </c>
      <c r="M26" s="20" t="n">
        <f aca="false">IF(M$5="",0,SUMPRODUCT((Plantillas!$A$2:$A$114=M$5)*(Plantillas!$D$2:$D$114=$A26)*(Plantillas!$G$2:$G$114*N(M$6)+Plantillas!$H$2:$H$114)))</f>
        <v>0</v>
      </c>
      <c r="N26" s="20" t="n">
        <f aca="false">IF(N$5="",0,SUMPRODUCT((Plantillas!$A$2:$A$114=N$5)*(Plantillas!$D$2:$D$114=$A26)*(Plantillas!$G$2:$G$114*N(N$6)+Plantillas!$H$2:$H$114)))</f>
        <v>0</v>
      </c>
      <c r="O26" s="20" t="n">
        <f aca="false">IF(O$5="",0,SUMPRODUCT((Plantillas!$A$2:$A$114=O$5)*(Plantillas!$D$2:$D$114=$A26)*(Plantillas!$G$2:$G$114*N(O$6)+Plantillas!$H$2:$H$114)))</f>
        <v>0</v>
      </c>
      <c r="P26" s="20" t="n">
        <f aca="false">IF(P$5="",0,SUMPRODUCT((Plantillas!$A$2:$A$114=P$5)*(Plantillas!$D$2:$D$114=$A26)*(Plantillas!$G$2:$G$114*N(P$6)+Plantillas!$H$2:$H$114)))</f>
        <v>0</v>
      </c>
      <c r="Q26" s="20" t="n">
        <f aca="false">IF(Q$5="",0,SUMPRODUCT((Plantillas!$A$2:$A$114=Q$5)*(Plantillas!$D$2:$D$114=$A26)*(Plantillas!$G$2:$G$114*N(Q$6)+Plantillas!$H$2:$H$114)))</f>
        <v>0</v>
      </c>
      <c r="R26" s="20" t="n">
        <f aca="false">IF(R$5="",0,SUMPRODUCT((Plantillas!$A$2:$A$114=R$5)*(Plantillas!$D$2:$D$114=$A26)*(Plantillas!$G$2:$G$114*N(R$6)+Plantillas!$H$2:$H$114)))</f>
        <v>0</v>
      </c>
      <c r="S26" s="20" t="n">
        <f aca="false">SUM(E26:R26)</f>
        <v>1</v>
      </c>
      <c r="T26" s="21" t="str">
        <f aca="false">IF(INDEX(Partidas!$F$2:$F$99,MATCH(A26,Partidas!$A$2:$A$99,0))="","",INDEX(Partidas!$F$2:$F$99,MATCH(A26,Partidas!$A$2:$A$99,0)))</f>
        <v/>
      </c>
      <c r="U26" s="22" t="n">
        <f aca="false">IF(T26="",0,S26*T26)</f>
        <v>0</v>
      </c>
    </row>
    <row r="27" customFormat="false" ht="15" hidden="false" customHeight="false" outlineLevel="0" collapsed="false">
      <c r="A27" s="17" t="s">
        <v>37</v>
      </c>
      <c r="B27" s="18"/>
      <c r="C27" s="17" t="s">
        <v>38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9" t="n">
        <f aca="false">SUM(U28:U30)</f>
        <v>0</v>
      </c>
    </row>
    <row r="28" customFormat="false" ht="15" hidden="false" customHeight="false" outlineLevel="0" collapsed="false">
      <c r="A28" s="0" t="s">
        <v>148</v>
      </c>
      <c r="B28" s="0" t="s">
        <v>37</v>
      </c>
      <c r="C28" s="9" t="str">
        <f aca="false">INDEX(Partidas!$D$2:$D$99,MATCH(A28,Partidas!$A$2:$A$99,0))</f>
        <v>Tabique PYL 2 placas por cara con aislamiento</v>
      </c>
      <c r="D28" s="9" t="str">
        <f aca="false">INDEX(Partidas!$C$2:$C$99,MATCH(A28,Partidas!$A$2:$A$99,0))</f>
        <v>m2</v>
      </c>
      <c r="E28" s="20" t="n">
        <f aca="false">IF(E$5="",0,SUMPRODUCT((Plantillas!$A$2:$A$114=E$5)*(Plantillas!$D$2:$D$114=$A28)*(Plantillas!$G$2:$G$114*N(E$6)+Plantillas!$H$2:$H$114)))</f>
        <v>0</v>
      </c>
      <c r="F28" s="20" t="n">
        <f aca="false">IF(F$5="",0,SUMPRODUCT((Plantillas!$A$2:$A$114=F$5)*(Plantillas!$D$2:$D$114=$A28)*(Plantillas!$G$2:$G$114*N(F$6)+Plantillas!$H$2:$H$114)))</f>
        <v>0</v>
      </c>
      <c r="G28" s="20" t="n">
        <f aca="false">IF(G$5="",0,SUMPRODUCT((Plantillas!$A$2:$A$114=G$5)*(Plantillas!$D$2:$D$114=$A28)*(Plantillas!$G$2:$G$114*N(G$6)+Plantillas!$H$2:$H$114)))</f>
        <v>0</v>
      </c>
      <c r="H28" s="20" t="n">
        <f aca="false">IF(H$5="",0,SUMPRODUCT((Plantillas!$A$2:$A$114=H$5)*(Plantillas!$D$2:$D$114=$A28)*(Plantillas!$G$2:$G$114*N(H$6)+Plantillas!$H$2:$H$114)))</f>
        <v>0</v>
      </c>
      <c r="I28" s="20" t="n">
        <f aca="false">IF(I$5="",0,SUMPRODUCT((Plantillas!$A$2:$A$114=I$5)*(Plantillas!$D$2:$D$114=$A28)*(Plantillas!$G$2:$G$114*N(I$6)+Plantillas!$H$2:$H$114)))</f>
        <v>0</v>
      </c>
      <c r="J28" s="20" t="n">
        <f aca="false">IF(J$5="",0,SUMPRODUCT((Plantillas!$A$2:$A$114=J$5)*(Plantillas!$D$2:$D$114=$A28)*(Plantillas!$G$2:$G$114*N(J$6)+Plantillas!$H$2:$H$114)))</f>
        <v>0</v>
      </c>
      <c r="K28" s="20" t="n">
        <f aca="false">IF(K$5="",0,SUMPRODUCT((Plantillas!$A$2:$A$114=K$5)*(Plantillas!$D$2:$D$114=$A28)*(Plantillas!$G$2:$G$114*N(K$6)+Plantillas!$H$2:$H$114)))</f>
        <v>0</v>
      </c>
      <c r="L28" s="20" t="n">
        <f aca="false">IF(L$5="",0,SUMPRODUCT((Plantillas!$A$2:$A$114=L$5)*(Plantillas!$D$2:$D$114=$A28)*(Plantillas!$G$2:$G$114*N(L$6)+Plantillas!$H$2:$H$114)))</f>
        <v>0</v>
      </c>
      <c r="M28" s="20" t="n">
        <f aca="false">IF(M$5="",0,SUMPRODUCT((Plantillas!$A$2:$A$114=M$5)*(Plantillas!$D$2:$D$114=$A28)*(Plantillas!$G$2:$G$114*N(M$6)+Plantillas!$H$2:$H$114)))</f>
        <v>0</v>
      </c>
      <c r="N28" s="20" t="n">
        <f aca="false">IF(N$5="",0,SUMPRODUCT((Plantillas!$A$2:$A$114=N$5)*(Plantillas!$D$2:$D$114=$A28)*(Plantillas!$G$2:$G$114*N(N$6)+Plantillas!$H$2:$H$114)))</f>
        <v>0</v>
      </c>
      <c r="O28" s="20" t="n">
        <f aca="false">IF(O$5="",0,SUMPRODUCT((Plantillas!$A$2:$A$114=O$5)*(Plantillas!$D$2:$D$114=$A28)*(Plantillas!$G$2:$G$114*N(O$6)+Plantillas!$H$2:$H$114)))</f>
        <v>0</v>
      </c>
      <c r="P28" s="20" t="n">
        <f aca="false">IF(P$5="",0,SUMPRODUCT((Plantillas!$A$2:$A$114=P$5)*(Plantillas!$D$2:$D$114=$A28)*(Plantillas!$G$2:$G$114*N(P$6)+Plantillas!$H$2:$H$114)))</f>
        <v>0</v>
      </c>
      <c r="Q28" s="20" t="n">
        <f aca="false">IF(Q$5="",0,SUMPRODUCT((Plantillas!$A$2:$A$114=Q$5)*(Plantillas!$D$2:$D$114=$A28)*(Plantillas!$G$2:$G$114*N(Q$6)+Plantillas!$H$2:$H$114)))</f>
        <v>0</v>
      </c>
      <c r="R28" s="20" t="n">
        <f aca="false">IF(R$5="",0,SUMPRODUCT((Plantillas!$A$2:$A$114=R$5)*(Plantillas!$D$2:$D$114=$A28)*(Plantillas!$G$2:$G$114*N(R$6)+Plantillas!$H$2:$H$114)))</f>
        <v>0</v>
      </c>
      <c r="S28" s="20" t="n">
        <f aca="false">SUM(E28:R28)</f>
        <v>0</v>
      </c>
      <c r="T28" s="21" t="n">
        <f aca="false">IF(INDEX(Partidas!$F$2:$F$99,MATCH(A28,Partidas!$A$2:$A$99,0))="","",INDEX(Partidas!$F$2:$F$99,MATCH(A28,Partidas!$A$2:$A$99,0)))</f>
        <v>60</v>
      </c>
      <c r="U28" s="22" t="n">
        <f aca="false">IF(T28="",0,S28*T28)</f>
        <v>0</v>
      </c>
    </row>
    <row r="29" customFormat="false" ht="15" hidden="false" customHeight="false" outlineLevel="0" collapsed="false">
      <c r="A29" s="0" t="s">
        <v>152</v>
      </c>
      <c r="B29" s="0" t="s">
        <v>37</v>
      </c>
      <c r="C29" s="9" t="str">
        <f aca="false">INDEX(Partidas!$D$2:$D$99,MATCH(A29,Partidas!$A$2:$A$99,0))</f>
        <v>Trasdosado PYL 1 placa sobre perfilería con aislamiento</v>
      </c>
      <c r="D29" s="9" t="str">
        <f aca="false">INDEX(Partidas!$C$2:$C$99,MATCH(A29,Partidas!$A$2:$A$99,0))</f>
        <v>m2</v>
      </c>
      <c r="E29" s="20" t="n">
        <f aca="false">IF(E$5="",0,SUMPRODUCT((Plantillas!$A$2:$A$114=E$5)*(Plantillas!$D$2:$D$114=$A29)*(Plantillas!$G$2:$G$114*N(E$6)+Plantillas!$H$2:$H$114)))</f>
        <v>0</v>
      </c>
      <c r="F29" s="20" t="n">
        <f aca="false">IF(F$5="",0,SUMPRODUCT((Plantillas!$A$2:$A$114=F$5)*(Plantillas!$D$2:$D$114=$A29)*(Plantillas!$G$2:$G$114*N(F$6)+Plantillas!$H$2:$H$114)))</f>
        <v>0</v>
      </c>
      <c r="G29" s="20" t="n">
        <f aca="false">IF(G$5="",0,SUMPRODUCT((Plantillas!$A$2:$A$114=G$5)*(Plantillas!$D$2:$D$114=$A29)*(Plantillas!$G$2:$G$114*N(G$6)+Plantillas!$H$2:$H$114)))</f>
        <v>0</v>
      </c>
      <c r="H29" s="20" t="n">
        <f aca="false">IF(H$5="",0,SUMPRODUCT((Plantillas!$A$2:$A$114=H$5)*(Plantillas!$D$2:$D$114=$A29)*(Plantillas!$G$2:$G$114*N(H$6)+Plantillas!$H$2:$H$114)))</f>
        <v>0</v>
      </c>
      <c r="I29" s="20" t="n">
        <f aca="false">IF(I$5="",0,SUMPRODUCT((Plantillas!$A$2:$A$114=I$5)*(Plantillas!$D$2:$D$114=$A29)*(Plantillas!$G$2:$G$114*N(I$6)+Plantillas!$H$2:$H$114)))</f>
        <v>0</v>
      </c>
      <c r="J29" s="20" t="n">
        <f aca="false">IF(J$5="",0,SUMPRODUCT((Plantillas!$A$2:$A$114=J$5)*(Plantillas!$D$2:$D$114=$A29)*(Plantillas!$G$2:$G$114*N(J$6)+Plantillas!$H$2:$H$114)))</f>
        <v>0</v>
      </c>
      <c r="K29" s="20" t="n">
        <f aca="false">IF(K$5="",0,SUMPRODUCT((Plantillas!$A$2:$A$114=K$5)*(Plantillas!$D$2:$D$114=$A29)*(Plantillas!$G$2:$G$114*N(K$6)+Plantillas!$H$2:$H$114)))</f>
        <v>0</v>
      </c>
      <c r="L29" s="20" t="n">
        <f aca="false">IF(L$5="",0,SUMPRODUCT((Plantillas!$A$2:$A$114=L$5)*(Plantillas!$D$2:$D$114=$A29)*(Plantillas!$G$2:$G$114*N(L$6)+Plantillas!$H$2:$H$114)))</f>
        <v>0</v>
      </c>
      <c r="M29" s="20" t="n">
        <f aca="false">IF(M$5="",0,SUMPRODUCT((Plantillas!$A$2:$A$114=M$5)*(Plantillas!$D$2:$D$114=$A29)*(Plantillas!$G$2:$G$114*N(M$6)+Plantillas!$H$2:$H$114)))</f>
        <v>0</v>
      </c>
      <c r="N29" s="20" t="n">
        <f aca="false">IF(N$5="",0,SUMPRODUCT((Plantillas!$A$2:$A$114=N$5)*(Plantillas!$D$2:$D$114=$A29)*(Plantillas!$G$2:$G$114*N(N$6)+Plantillas!$H$2:$H$114)))</f>
        <v>0</v>
      </c>
      <c r="O29" s="20" t="n">
        <f aca="false">IF(O$5="",0,SUMPRODUCT((Plantillas!$A$2:$A$114=O$5)*(Plantillas!$D$2:$D$114=$A29)*(Plantillas!$G$2:$G$114*N(O$6)+Plantillas!$H$2:$H$114)))</f>
        <v>0</v>
      </c>
      <c r="P29" s="20" t="n">
        <f aca="false">IF(P$5="",0,SUMPRODUCT((Plantillas!$A$2:$A$114=P$5)*(Plantillas!$D$2:$D$114=$A29)*(Plantillas!$G$2:$G$114*N(P$6)+Plantillas!$H$2:$H$114)))</f>
        <v>0</v>
      </c>
      <c r="Q29" s="20" t="n">
        <f aca="false">IF(Q$5="",0,SUMPRODUCT((Plantillas!$A$2:$A$114=Q$5)*(Plantillas!$D$2:$D$114=$A29)*(Plantillas!$G$2:$G$114*N(Q$6)+Plantillas!$H$2:$H$114)))</f>
        <v>0</v>
      </c>
      <c r="R29" s="20" t="n">
        <f aca="false">IF(R$5="",0,SUMPRODUCT((Plantillas!$A$2:$A$114=R$5)*(Plantillas!$D$2:$D$114=$A29)*(Plantillas!$G$2:$G$114*N(R$6)+Plantillas!$H$2:$H$114)))</f>
        <v>0</v>
      </c>
      <c r="S29" s="20" t="n">
        <f aca="false">SUM(E29:R29)</f>
        <v>0</v>
      </c>
      <c r="T29" s="21" t="n">
        <f aca="false">IF(INDEX(Partidas!$F$2:$F$99,MATCH(A29,Partidas!$A$2:$A$99,0))="","",INDEX(Partidas!$F$2:$F$99,MATCH(A29,Partidas!$A$2:$A$99,0)))</f>
        <v>40</v>
      </c>
      <c r="U29" s="22" t="n">
        <f aca="false">IF(T29="",0,S29*T29)</f>
        <v>0</v>
      </c>
    </row>
    <row r="30" customFormat="false" ht="15" hidden="false" customHeight="false" outlineLevel="0" collapsed="false">
      <c r="A30" s="0" t="s">
        <v>156</v>
      </c>
      <c r="B30" s="0" t="s">
        <v>37</v>
      </c>
      <c r="C30" s="9" t="str">
        <f aca="false">INDEX(Partidas!$D$2:$D$99,MATCH(A30,Partidas!$A$2:$A$99,0))</f>
        <v>Trasdosado PYL 1 placa directo</v>
      </c>
      <c r="D30" s="9" t="str">
        <f aca="false">INDEX(Partidas!$C$2:$C$99,MATCH(A30,Partidas!$A$2:$A$99,0))</f>
        <v>m2</v>
      </c>
      <c r="E30" s="20" t="n">
        <f aca="false">IF(E$5="",0,SUMPRODUCT((Plantillas!$A$2:$A$114=E$5)*(Plantillas!$D$2:$D$114=$A30)*(Plantillas!$G$2:$G$114*N(E$6)+Plantillas!$H$2:$H$114)))</f>
        <v>0</v>
      </c>
      <c r="F30" s="20" t="n">
        <f aca="false">IF(F$5="",0,SUMPRODUCT((Plantillas!$A$2:$A$114=F$5)*(Plantillas!$D$2:$D$114=$A30)*(Plantillas!$G$2:$G$114*N(F$6)+Plantillas!$H$2:$H$114)))</f>
        <v>0</v>
      </c>
      <c r="G30" s="20" t="n">
        <f aca="false">IF(G$5="",0,SUMPRODUCT((Plantillas!$A$2:$A$114=G$5)*(Plantillas!$D$2:$D$114=$A30)*(Plantillas!$G$2:$G$114*N(G$6)+Plantillas!$H$2:$H$114)))</f>
        <v>0</v>
      </c>
      <c r="H30" s="20" t="n">
        <f aca="false">IF(H$5="",0,SUMPRODUCT((Plantillas!$A$2:$A$114=H$5)*(Plantillas!$D$2:$D$114=$A30)*(Plantillas!$G$2:$G$114*N(H$6)+Plantillas!$H$2:$H$114)))</f>
        <v>0</v>
      </c>
      <c r="I30" s="20" t="n">
        <f aca="false">IF(I$5="",0,SUMPRODUCT((Plantillas!$A$2:$A$114=I$5)*(Plantillas!$D$2:$D$114=$A30)*(Plantillas!$G$2:$G$114*N(I$6)+Plantillas!$H$2:$H$114)))</f>
        <v>0</v>
      </c>
      <c r="J30" s="20" t="n">
        <f aca="false">IF(J$5="",0,SUMPRODUCT((Plantillas!$A$2:$A$114=J$5)*(Plantillas!$D$2:$D$114=$A30)*(Plantillas!$G$2:$G$114*N(J$6)+Plantillas!$H$2:$H$114)))</f>
        <v>0</v>
      </c>
      <c r="K30" s="20" t="n">
        <f aca="false">IF(K$5="",0,SUMPRODUCT((Plantillas!$A$2:$A$114=K$5)*(Plantillas!$D$2:$D$114=$A30)*(Plantillas!$G$2:$G$114*N(K$6)+Plantillas!$H$2:$H$114)))</f>
        <v>0</v>
      </c>
      <c r="L30" s="20" t="n">
        <f aca="false">IF(L$5="",0,SUMPRODUCT((Plantillas!$A$2:$A$114=L$5)*(Plantillas!$D$2:$D$114=$A30)*(Plantillas!$G$2:$G$114*N(L$6)+Plantillas!$H$2:$H$114)))</f>
        <v>0</v>
      </c>
      <c r="M30" s="20" t="n">
        <f aca="false">IF(M$5="",0,SUMPRODUCT((Plantillas!$A$2:$A$114=M$5)*(Plantillas!$D$2:$D$114=$A30)*(Plantillas!$G$2:$G$114*N(M$6)+Plantillas!$H$2:$H$114)))</f>
        <v>0</v>
      </c>
      <c r="N30" s="20" t="n">
        <f aca="false">IF(N$5="",0,SUMPRODUCT((Plantillas!$A$2:$A$114=N$5)*(Plantillas!$D$2:$D$114=$A30)*(Plantillas!$G$2:$G$114*N(N$6)+Plantillas!$H$2:$H$114)))</f>
        <v>0</v>
      </c>
      <c r="O30" s="20" t="n">
        <f aca="false">IF(O$5="",0,SUMPRODUCT((Plantillas!$A$2:$A$114=O$5)*(Plantillas!$D$2:$D$114=$A30)*(Plantillas!$G$2:$G$114*N(O$6)+Plantillas!$H$2:$H$114)))</f>
        <v>0</v>
      </c>
      <c r="P30" s="20" t="n">
        <f aca="false">IF(P$5="",0,SUMPRODUCT((Plantillas!$A$2:$A$114=P$5)*(Plantillas!$D$2:$D$114=$A30)*(Plantillas!$G$2:$G$114*N(P$6)+Plantillas!$H$2:$H$114)))</f>
        <v>0</v>
      </c>
      <c r="Q30" s="20" t="n">
        <f aca="false">IF(Q$5="",0,SUMPRODUCT((Plantillas!$A$2:$A$114=Q$5)*(Plantillas!$D$2:$D$114=$A30)*(Plantillas!$G$2:$G$114*N(Q$6)+Plantillas!$H$2:$H$114)))</f>
        <v>0</v>
      </c>
      <c r="R30" s="20" t="n">
        <f aca="false">IF(R$5="",0,SUMPRODUCT((Plantillas!$A$2:$A$114=R$5)*(Plantillas!$D$2:$D$114=$A30)*(Plantillas!$G$2:$G$114*N(R$6)+Plantillas!$H$2:$H$114)))</f>
        <v>0</v>
      </c>
      <c r="S30" s="20" t="n">
        <f aca="false">SUM(E30:R30)</f>
        <v>0</v>
      </c>
      <c r="T30" s="21" t="n">
        <f aca="false">IF(INDEX(Partidas!$F$2:$F$99,MATCH(A30,Partidas!$A$2:$A$99,0))="","",INDEX(Partidas!$F$2:$F$99,MATCH(A30,Partidas!$A$2:$A$99,0)))</f>
        <v>30</v>
      </c>
      <c r="U30" s="22" t="n">
        <f aca="false">IF(T30="",0,S30*T30)</f>
        <v>0</v>
      </c>
    </row>
    <row r="31" customFormat="false" ht="15" hidden="false" customHeight="false" outlineLevel="0" collapsed="false">
      <c r="A31" s="17" t="s">
        <v>40</v>
      </c>
      <c r="B31" s="18"/>
      <c r="C31" s="17" t="s">
        <v>41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9" t="n">
        <f aca="false">SUM(U32:U36)</f>
        <v>2772</v>
      </c>
    </row>
    <row r="32" customFormat="false" ht="15" hidden="false" customHeight="false" outlineLevel="0" collapsed="false">
      <c r="A32" s="0" t="s">
        <v>160</v>
      </c>
      <c r="B32" s="0" t="s">
        <v>40</v>
      </c>
      <c r="C32" s="9" t="str">
        <f aca="false">INDEX(Partidas!$D$2:$D$99,MATCH(A32,Partidas!$A$2:$A$99,0))</f>
        <v>Falso techo continuo PYL</v>
      </c>
      <c r="D32" s="9" t="str">
        <f aca="false">INDEX(Partidas!$C$2:$C$99,MATCH(A32,Partidas!$A$2:$A$99,0))</f>
        <v>m2</v>
      </c>
      <c r="E32" s="20" t="n">
        <f aca="false">IF(E$5="",0,SUMPRODUCT((Plantillas!$A$2:$A$114=E$5)*(Plantillas!$D$2:$D$114=$A32)*(Plantillas!$G$2:$G$114*N(E$6)+Plantillas!$H$2:$H$114)))</f>
        <v>0</v>
      </c>
      <c r="F32" s="20" t="n">
        <f aca="false">IF(F$5="",0,SUMPRODUCT((Plantillas!$A$2:$A$114=F$5)*(Plantillas!$D$2:$D$114=$A32)*(Plantillas!$G$2:$G$114*N(F$6)+Plantillas!$H$2:$H$114)))</f>
        <v>24</v>
      </c>
      <c r="G32" s="20" t="n">
        <f aca="false">IF(G$5="",0,SUMPRODUCT((Plantillas!$A$2:$A$114=G$5)*(Plantillas!$D$2:$D$114=$A32)*(Plantillas!$G$2:$G$114*N(G$6)+Plantillas!$H$2:$H$114)))</f>
        <v>15</v>
      </c>
      <c r="H32" s="20" t="n">
        <f aca="false">IF(H$5="",0,SUMPRODUCT((Plantillas!$A$2:$A$114=H$5)*(Plantillas!$D$2:$D$114=$A32)*(Plantillas!$G$2:$G$114*N(H$6)+Plantillas!$H$2:$H$114)))</f>
        <v>10</v>
      </c>
      <c r="I32" s="20" t="n">
        <f aca="false">IF(I$5="",0,SUMPRODUCT((Plantillas!$A$2:$A$114=I$5)*(Plantillas!$D$2:$D$114=$A32)*(Plantillas!$G$2:$G$114*N(I$6)+Plantillas!$H$2:$H$114)))</f>
        <v>10</v>
      </c>
      <c r="J32" s="20" t="n">
        <f aca="false">IF(J$5="",0,SUMPRODUCT((Plantillas!$A$2:$A$114=J$5)*(Plantillas!$D$2:$D$114=$A32)*(Plantillas!$G$2:$G$114*N(J$6)+Plantillas!$H$2:$H$114)))</f>
        <v>7</v>
      </c>
      <c r="K32" s="20" t="n">
        <f aca="false">IF(K$5="",0,SUMPRODUCT((Plantillas!$A$2:$A$114=K$5)*(Plantillas!$D$2:$D$114=$A32)*(Plantillas!$G$2:$G$114*N(K$6)+Plantillas!$H$2:$H$114)))</f>
        <v>4</v>
      </c>
      <c r="L32" s="20" t="n">
        <f aca="false">IF(L$5="",0,SUMPRODUCT((Plantillas!$A$2:$A$114=L$5)*(Plantillas!$D$2:$D$114=$A32)*(Plantillas!$G$2:$G$114*N(L$6)+Plantillas!$H$2:$H$114)))</f>
        <v>0</v>
      </c>
      <c r="M32" s="20" t="n">
        <f aca="false">IF(M$5="",0,SUMPRODUCT((Plantillas!$A$2:$A$114=M$5)*(Plantillas!$D$2:$D$114=$A32)*(Plantillas!$G$2:$G$114*N(M$6)+Plantillas!$H$2:$H$114)))</f>
        <v>0</v>
      </c>
      <c r="N32" s="20" t="n">
        <f aca="false">IF(N$5="",0,SUMPRODUCT((Plantillas!$A$2:$A$114=N$5)*(Plantillas!$D$2:$D$114=$A32)*(Plantillas!$G$2:$G$114*N(N$6)+Plantillas!$H$2:$H$114)))</f>
        <v>0</v>
      </c>
      <c r="O32" s="20" t="n">
        <f aca="false">IF(O$5="",0,SUMPRODUCT((Plantillas!$A$2:$A$114=O$5)*(Plantillas!$D$2:$D$114=$A32)*(Plantillas!$G$2:$G$114*N(O$6)+Plantillas!$H$2:$H$114)))</f>
        <v>0</v>
      </c>
      <c r="P32" s="20" t="n">
        <f aca="false">IF(P$5="",0,SUMPRODUCT((Plantillas!$A$2:$A$114=P$5)*(Plantillas!$D$2:$D$114=$A32)*(Plantillas!$G$2:$G$114*N(P$6)+Plantillas!$H$2:$H$114)))</f>
        <v>0</v>
      </c>
      <c r="Q32" s="20" t="n">
        <f aca="false">IF(Q$5="",0,SUMPRODUCT((Plantillas!$A$2:$A$114=Q$5)*(Plantillas!$D$2:$D$114=$A32)*(Plantillas!$G$2:$G$114*N(Q$6)+Plantillas!$H$2:$H$114)))</f>
        <v>0</v>
      </c>
      <c r="R32" s="20" t="n">
        <f aca="false">IF(R$5="",0,SUMPRODUCT((Plantillas!$A$2:$A$114=R$5)*(Plantillas!$D$2:$D$114=$A32)*(Plantillas!$G$2:$G$114*N(R$6)+Plantillas!$H$2:$H$114)))</f>
        <v>0</v>
      </c>
      <c r="S32" s="20" t="n">
        <f aca="false">SUM(E32:R32)</f>
        <v>70</v>
      </c>
      <c r="T32" s="21" t="n">
        <f aca="false">IF(INDEX(Partidas!$F$2:$F$99,MATCH(A32,Partidas!$A$2:$A$99,0))="","",INDEX(Partidas!$F$2:$F$99,MATCH(A32,Partidas!$A$2:$A$99,0)))</f>
        <v>30</v>
      </c>
      <c r="U32" s="22" t="n">
        <f aca="false">IF(T32="",0,S32*T32)</f>
        <v>2100</v>
      </c>
    </row>
    <row r="33" customFormat="false" ht="15" hidden="false" customHeight="false" outlineLevel="0" collapsed="false">
      <c r="A33" s="0" t="s">
        <v>164</v>
      </c>
      <c r="B33" s="0" t="s">
        <v>40</v>
      </c>
      <c r="C33" s="9" t="str">
        <f aca="false">INDEX(Partidas!$D$2:$D$99,MATCH(A33,Partidas!$A$2:$A$99,0))</f>
        <v>Falso techo continuo PYL hidrófugo</v>
      </c>
      <c r="D33" s="9" t="str">
        <f aca="false">INDEX(Partidas!$C$2:$C$99,MATCH(A33,Partidas!$A$2:$A$99,0))</f>
        <v>m2</v>
      </c>
      <c r="E33" s="20" t="n">
        <f aca="false">IF(E$5="",0,SUMPRODUCT((Plantillas!$A$2:$A$114=E$5)*(Plantillas!$D$2:$D$114=$A33)*(Plantillas!$G$2:$G$114*N(E$6)+Plantillas!$H$2:$H$114)))</f>
        <v>0</v>
      </c>
      <c r="F33" s="20" t="n">
        <f aca="false">IF(F$5="",0,SUMPRODUCT((Plantillas!$A$2:$A$114=F$5)*(Plantillas!$D$2:$D$114=$A33)*(Plantillas!$G$2:$G$114*N(F$6)+Plantillas!$H$2:$H$114)))</f>
        <v>0</v>
      </c>
      <c r="G33" s="20" t="n">
        <f aca="false">IF(G$5="",0,SUMPRODUCT((Plantillas!$A$2:$A$114=G$5)*(Plantillas!$D$2:$D$114=$A33)*(Plantillas!$G$2:$G$114*N(G$6)+Plantillas!$H$2:$H$114)))</f>
        <v>0</v>
      </c>
      <c r="H33" s="20" t="n">
        <f aca="false">IF(H$5="",0,SUMPRODUCT((Plantillas!$A$2:$A$114=H$5)*(Plantillas!$D$2:$D$114=$A33)*(Plantillas!$G$2:$G$114*N(H$6)+Plantillas!$H$2:$H$114)))</f>
        <v>0</v>
      </c>
      <c r="I33" s="20" t="n">
        <f aca="false">IF(I$5="",0,SUMPRODUCT((Plantillas!$A$2:$A$114=I$5)*(Plantillas!$D$2:$D$114=$A33)*(Plantillas!$G$2:$G$114*N(I$6)+Plantillas!$H$2:$H$114)))</f>
        <v>0</v>
      </c>
      <c r="J33" s="20" t="n">
        <f aca="false">IF(J$5="",0,SUMPRODUCT((Plantillas!$A$2:$A$114=J$5)*(Plantillas!$D$2:$D$114=$A33)*(Plantillas!$G$2:$G$114*N(J$6)+Plantillas!$H$2:$H$114)))</f>
        <v>0</v>
      </c>
      <c r="K33" s="20" t="n">
        <f aca="false">IF(K$5="",0,SUMPRODUCT((Plantillas!$A$2:$A$114=K$5)*(Plantillas!$D$2:$D$114=$A33)*(Plantillas!$G$2:$G$114*N(K$6)+Plantillas!$H$2:$H$114)))</f>
        <v>0</v>
      </c>
      <c r="L33" s="20" t="n">
        <f aca="false">IF(L$5="",0,SUMPRODUCT((Plantillas!$A$2:$A$114=L$5)*(Plantillas!$D$2:$D$114=$A33)*(Plantillas!$G$2:$G$114*N(L$6)+Plantillas!$H$2:$H$114)))</f>
        <v>9</v>
      </c>
      <c r="M33" s="20" t="n">
        <f aca="false">IF(M$5="",0,SUMPRODUCT((Plantillas!$A$2:$A$114=M$5)*(Plantillas!$D$2:$D$114=$A33)*(Plantillas!$G$2:$G$114*N(M$6)+Plantillas!$H$2:$H$114)))</f>
        <v>3</v>
      </c>
      <c r="N33" s="20" t="n">
        <f aca="false">IF(N$5="",0,SUMPRODUCT((Plantillas!$A$2:$A$114=N$5)*(Plantillas!$D$2:$D$114=$A33)*(Plantillas!$G$2:$G$114*N(N$6)+Plantillas!$H$2:$H$114)))</f>
        <v>5</v>
      </c>
      <c r="O33" s="20" t="n">
        <f aca="false">IF(O$5="",0,SUMPRODUCT((Plantillas!$A$2:$A$114=O$5)*(Plantillas!$D$2:$D$114=$A33)*(Plantillas!$G$2:$G$114*N(O$6)+Plantillas!$H$2:$H$114)))</f>
        <v>4</v>
      </c>
      <c r="P33" s="20" t="n">
        <f aca="false">IF(P$5="",0,SUMPRODUCT((Plantillas!$A$2:$A$114=P$5)*(Plantillas!$D$2:$D$114=$A33)*(Plantillas!$G$2:$G$114*N(P$6)+Plantillas!$H$2:$H$114)))</f>
        <v>0</v>
      </c>
      <c r="Q33" s="20" t="n">
        <f aca="false">IF(Q$5="",0,SUMPRODUCT((Plantillas!$A$2:$A$114=Q$5)*(Plantillas!$D$2:$D$114=$A33)*(Plantillas!$G$2:$G$114*N(Q$6)+Plantillas!$H$2:$H$114)))</f>
        <v>0</v>
      </c>
      <c r="R33" s="20" t="n">
        <f aca="false">IF(R$5="",0,SUMPRODUCT((Plantillas!$A$2:$A$114=R$5)*(Plantillas!$D$2:$D$114=$A33)*(Plantillas!$G$2:$G$114*N(R$6)+Plantillas!$H$2:$H$114)))</f>
        <v>0</v>
      </c>
      <c r="S33" s="20" t="n">
        <f aca="false">SUM(E33:R33)</f>
        <v>21</v>
      </c>
      <c r="T33" s="21" t="n">
        <f aca="false">IF(INDEX(Partidas!$F$2:$F$99,MATCH(A33,Partidas!$A$2:$A$99,0))="","",INDEX(Partidas!$F$2:$F$99,MATCH(A33,Partidas!$A$2:$A$99,0)))</f>
        <v>32</v>
      </c>
      <c r="U33" s="22" t="n">
        <f aca="false">IF(T33="",0,S33*T33)</f>
        <v>672</v>
      </c>
    </row>
    <row r="34" customFormat="false" ht="15" hidden="false" customHeight="false" outlineLevel="0" collapsed="false">
      <c r="A34" s="0" t="s">
        <v>168</v>
      </c>
      <c r="B34" s="0" t="s">
        <v>40</v>
      </c>
      <c r="C34" s="9" t="str">
        <f aca="false">INDEX(Partidas!$D$2:$D$99,MATCH(A34,Partidas!$A$2:$A$99,0))</f>
        <v>Candileja o foseado perimetral para LED</v>
      </c>
      <c r="D34" s="9" t="str">
        <f aca="false">INDEX(Partidas!$C$2:$C$99,MATCH(A34,Partidas!$A$2:$A$99,0))</f>
        <v>m</v>
      </c>
      <c r="E34" s="20" t="n">
        <f aca="false">IF(E$5="",0,SUMPRODUCT((Plantillas!$A$2:$A$114=E$5)*(Plantillas!$D$2:$D$114=$A34)*(Plantillas!$G$2:$G$114*N(E$6)+Plantillas!$H$2:$H$114)))</f>
        <v>0</v>
      </c>
      <c r="F34" s="20" t="n">
        <f aca="false">IF(F$5="",0,SUMPRODUCT((Plantillas!$A$2:$A$114=F$5)*(Plantillas!$D$2:$D$114=$A34)*(Plantillas!$G$2:$G$114*N(F$6)+Plantillas!$H$2:$H$114)))</f>
        <v>0</v>
      </c>
      <c r="G34" s="20" t="n">
        <f aca="false">IF(G$5="",0,SUMPRODUCT((Plantillas!$A$2:$A$114=G$5)*(Plantillas!$D$2:$D$114=$A34)*(Plantillas!$G$2:$G$114*N(G$6)+Plantillas!$H$2:$H$114)))</f>
        <v>0</v>
      </c>
      <c r="H34" s="20" t="n">
        <f aca="false">IF(H$5="",0,SUMPRODUCT((Plantillas!$A$2:$A$114=H$5)*(Plantillas!$D$2:$D$114=$A34)*(Plantillas!$G$2:$G$114*N(H$6)+Plantillas!$H$2:$H$114)))</f>
        <v>0</v>
      </c>
      <c r="I34" s="20" t="n">
        <f aca="false">IF(I$5="",0,SUMPRODUCT((Plantillas!$A$2:$A$114=I$5)*(Plantillas!$D$2:$D$114=$A34)*(Plantillas!$G$2:$G$114*N(I$6)+Plantillas!$H$2:$H$114)))</f>
        <v>0</v>
      </c>
      <c r="J34" s="20" t="n">
        <f aca="false">IF(J$5="",0,SUMPRODUCT((Plantillas!$A$2:$A$114=J$5)*(Plantillas!$D$2:$D$114=$A34)*(Plantillas!$G$2:$G$114*N(J$6)+Plantillas!$H$2:$H$114)))</f>
        <v>0</v>
      </c>
      <c r="K34" s="20" t="n">
        <f aca="false">IF(K$5="",0,SUMPRODUCT((Plantillas!$A$2:$A$114=K$5)*(Plantillas!$D$2:$D$114=$A34)*(Plantillas!$G$2:$G$114*N(K$6)+Plantillas!$H$2:$H$114)))</f>
        <v>0</v>
      </c>
      <c r="L34" s="20" t="n">
        <f aca="false">IF(L$5="",0,SUMPRODUCT((Plantillas!$A$2:$A$114=L$5)*(Plantillas!$D$2:$D$114=$A34)*(Plantillas!$G$2:$G$114*N(L$6)+Plantillas!$H$2:$H$114)))</f>
        <v>0</v>
      </c>
      <c r="M34" s="20" t="n">
        <f aca="false">IF(M$5="",0,SUMPRODUCT((Plantillas!$A$2:$A$114=M$5)*(Plantillas!$D$2:$D$114=$A34)*(Plantillas!$G$2:$G$114*N(M$6)+Plantillas!$H$2:$H$114)))</f>
        <v>0</v>
      </c>
      <c r="N34" s="20" t="n">
        <f aca="false">IF(N$5="",0,SUMPRODUCT((Plantillas!$A$2:$A$114=N$5)*(Plantillas!$D$2:$D$114=$A34)*(Plantillas!$G$2:$G$114*N(N$6)+Plantillas!$H$2:$H$114)))</f>
        <v>0</v>
      </c>
      <c r="O34" s="20" t="n">
        <f aca="false">IF(O$5="",0,SUMPRODUCT((Plantillas!$A$2:$A$114=O$5)*(Plantillas!$D$2:$D$114=$A34)*(Plantillas!$G$2:$G$114*N(O$6)+Plantillas!$H$2:$H$114)))</f>
        <v>0</v>
      </c>
      <c r="P34" s="20" t="n">
        <f aca="false">IF(P$5="",0,SUMPRODUCT((Plantillas!$A$2:$A$114=P$5)*(Plantillas!$D$2:$D$114=$A34)*(Plantillas!$G$2:$G$114*N(P$6)+Plantillas!$H$2:$H$114)))</f>
        <v>0</v>
      </c>
      <c r="Q34" s="20" t="n">
        <f aca="false">IF(Q$5="",0,SUMPRODUCT((Plantillas!$A$2:$A$114=Q$5)*(Plantillas!$D$2:$D$114=$A34)*(Plantillas!$G$2:$G$114*N(Q$6)+Plantillas!$H$2:$H$114)))</f>
        <v>0</v>
      </c>
      <c r="R34" s="20" t="n">
        <f aca="false">IF(R$5="",0,SUMPRODUCT((Plantillas!$A$2:$A$114=R$5)*(Plantillas!$D$2:$D$114=$A34)*(Plantillas!$G$2:$G$114*N(R$6)+Plantillas!$H$2:$H$114)))</f>
        <v>0</v>
      </c>
      <c r="S34" s="20" t="n">
        <f aca="false">SUM(E34:R34)</f>
        <v>0</v>
      </c>
      <c r="T34" s="21" t="n">
        <f aca="false">IF(INDEX(Partidas!$F$2:$F$99,MATCH(A34,Partidas!$A$2:$A$99,0))="","",INDEX(Partidas!$F$2:$F$99,MATCH(A34,Partidas!$A$2:$A$99,0)))</f>
        <v>40</v>
      </c>
      <c r="U34" s="22" t="n">
        <f aca="false">IF(T34="",0,S34*T34)</f>
        <v>0</v>
      </c>
    </row>
    <row r="35" customFormat="false" ht="15" hidden="false" customHeight="false" outlineLevel="0" collapsed="false">
      <c r="A35" s="0" t="s">
        <v>173</v>
      </c>
      <c r="B35" s="0" t="s">
        <v>40</v>
      </c>
      <c r="C35" s="9" t="str">
        <f aca="false">INDEX(Partidas!$D$2:$D$99,MATCH(A35,Partidas!$A$2:$A$99,0))</f>
        <v>Moldura decorativa de escayola</v>
      </c>
      <c r="D35" s="9" t="str">
        <f aca="false">INDEX(Partidas!$C$2:$C$99,MATCH(A35,Partidas!$A$2:$A$99,0))</f>
        <v>m</v>
      </c>
      <c r="E35" s="20" t="n">
        <f aca="false">IF(E$5="",0,SUMPRODUCT((Plantillas!$A$2:$A$114=E$5)*(Plantillas!$D$2:$D$114=$A35)*(Plantillas!$G$2:$G$114*N(E$6)+Plantillas!$H$2:$H$114)))</f>
        <v>0</v>
      </c>
      <c r="F35" s="20" t="n">
        <f aca="false">IF(F$5="",0,SUMPRODUCT((Plantillas!$A$2:$A$114=F$5)*(Plantillas!$D$2:$D$114=$A35)*(Plantillas!$G$2:$G$114*N(F$6)+Plantillas!$H$2:$H$114)))</f>
        <v>0</v>
      </c>
      <c r="G35" s="20" t="n">
        <f aca="false">IF(G$5="",0,SUMPRODUCT((Plantillas!$A$2:$A$114=G$5)*(Plantillas!$D$2:$D$114=$A35)*(Plantillas!$G$2:$G$114*N(G$6)+Plantillas!$H$2:$H$114)))</f>
        <v>0</v>
      </c>
      <c r="H35" s="20" t="n">
        <f aca="false">IF(H$5="",0,SUMPRODUCT((Plantillas!$A$2:$A$114=H$5)*(Plantillas!$D$2:$D$114=$A35)*(Plantillas!$G$2:$G$114*N(H$6)+Plantillas!$H$2:$H$114)))</f>
        <v>0</v>
      </c>
      <c r="I35" s="20" t="n">
        <f aca="false">IF(I$5="",0,SUMPRODUCT((Plantillas!$A$2:$A$114=I$5)*(Plantillas!$D$2:$D$114=$A35)*(Plantillas!$G$2:$G$114*N(I$6)+Plantillas!$H$2:$H$114)))</f>
        <v>0</v>
      </c>
      <c r="J35" s="20" t="n">
        <f aca="false">IF(J$5="",0,SUMPRODUCT((Plantillas!$A$2:$A$114=J$5)*(Plantillas!$D$2:$D$114=$A35)*(Plantillas!$G$2:$G$114*N(J$6)+Plantillas!$H$2:$H$114)))</f>
        <v>0</v>
      </c>
      <c r="K35" s="20" t="n">
        <f aca="false">IF(K$5="",0,SUMPRODUCT((Plantillas!$A$2:$A$114=K$5)*(Plantillas!$D$2:$D$114=$A35)*(Plantillas!$G$2:$G$114*N(K$6)+Plantillas!$H$2:$H$114)))</f>
        <v>0</v>
      </c>
      <c r="L35" s="20" t="n">
        <f aca="false">IF(L$5="",0,SUMPRODUCT((Plantillas!$A$2:$A$114=L$5)*(Plantillas!$D$2:$D$114=$A35)*(Plantillas!$G$2:$G$114*N(L$6)+Plantillas!$H$2:$H$114)))</f>
        <v>0</v>
      </c>
      <c r="M35" s="20" t="n">
        <f aca="false">IF(M$5="",0,SUMPRODUCT((Plantillas!$A$2:$A$114=M$5)*(Plantillas!$D$2:$D$114=$A35)*(Plantillas!$G$2:$G$114*N(M$6)+Plantillas!$H$2:$H$114)))</f>
        <v>0</v>
      </c>
      <c r="N35" s="20" t="n">
        <f aca="false">IF(N$5="",0,SUMPRODUCT((Plantillas!$A$2:$A$114=N$5)*(Plantillas!$D$2:$D$114=$A35)*(Plantillas!$G$2:$G$114*N(N$6)+Plantillas!$H$2:$H$114)))</f>
        <v>0</v>
      </c>
      <c r="O35" s="20" t="n">
        <f aca="false">IF(O$5="",0,SUMPRODUCT((Plantillas!$A$2:$A$114=O$5)*(Plantillas!$D$2:$D$114=$A35)*(Plantillas!$G$2:$G$114*N(O$6)+Plantillas!$H$2:$H$114)))</f>
        <v>0</v>
      </c>
      <c r="P35" s="20" t="n">
        <f aca="false">IF(P$5="",0,SUMPRODUCT((Plantillas!$A$2:$A$114=P$5)*(Plantillas!$D$2:$D$114=$A35)*(Plantillas!$G$2:$G$114*N(P$6)+Plantillas!$H$2:$H$114)))</f>
        <v>0</v>
      </c>
      <c r="Q35" s="20" t="n">
        <f aca="false">IF(Q$5="",0,SUMPRODUCT((Plantillas!$A$2:$A$114=Q$5)*(Plantillas!$D$2:$D$114=$A35)*(Plantillas!$G$2:$G$114*N(Q$6)+Plantillas!$H$2:$H$114)))</f>
        <v>0</v>
      </c>
      <c r="R35" s="20" t="n">
        <f aca="false">IF(R$5="",0,SUMPRODUCT((Plantillas!$A$2:$A$114=R$5)*(Plantillas!$D$2:$D$114=$A35)*(Plantillas!$G$2:$G$114*N(R$6)+Plantillas!$H$2:$H$114)))</f>
        <v>0</v>
      </c>
      <c r="S35" s="20" t="n">
        <f aca="false">SUM(E35:R35)</f>
        <v>0</v>
      </c>
      <c r="T35" s="21" t="n">
        <f aca="false">IF(INDEX(Partidas!$F$2:$F$99,MATCH(A35,Partidas!$A$2:$A$99,0))="","",INDEX(Partidas!$F$2:$F$99,MATCH(A35,Partidas!$A$2:$A$99,0)))</f>
        <v>20</v>
      </c>
      <c r="U35" s="22" t="n">
        <f aca="false">IF(T35="",0,S35*T35)</f>
        <v>0</v>
      </c>
    </row>
    <row r="36" customFormat="false" ht="15" hidden="false" customHeight="false" outlineLevel="0" collapsed="false">
      <c r="A36" s="0" t="s">
        <v>177</v>
      </c>
      <c r="B36" s="0" t="s">
        <v>40</v>
      </c>
      <c r="C36" s="9" t="str">
        <f aca="false">INDEX(Partidas!$D$2:$D$99,MATCH(A36,Partidas!$A$2:$A$99,0))</f>
        <v>Registro en falso techo</v>
      </c>
      <c r="D36" s="9" t="str">
        <f aca="false">INDEX(Partidas!$C$2:$C$99,MATCH(A36,Partidas!$A$2:$A$99,0))</f>
        <v>ud</v>
      </c>
      <c r="E36" s="20" t="n">
        <f aca="false">IF(E$5="",0,SUMPRODUCT((Plantillas!$A$2:$A$114=E$5)*(Plantillas!$D$2:$D$114=$A36)*(Plantillas!$G$2:$G$114*N(E$6)+Plantillas!$H$2:$H$114)))</f>
        <v>0</v>
      </c>
      <c r="F36" s="20" t="n">
        <f aca="false">IF(F$5="",0,SUMPRODUCT((Plantillas!$A$2:$A$114=F$5)*(Plantillas!$D$2:$D$114=$A36)*(Plantillas!$G$2:$G$114*N(F$6)+Plantillas!$H$2:$H$114)))</f>
        <v>0</v>
      </c>
      <c r="G36" s="20" t="n">
        <f aca="false">IF(G$5="",0,SUMPRODUCT((Plantillas!$A$2:$A$114=G$5)*(Plantillas!$D$2:$D$114=$A36)*(Plantillas!$G$2:$G$114*N(G$6)+Plantillas!$H$2:$H$114)))</f>
        <v>0</v>
      </c>
      <c r="H36" s="20" t="n">
        <f aca="false">IF(H$5="",0,SUMPRODUCT((Plantillas!$A$2:$A$114=H$5)*(Plantillas!$D$2:$D$114=$A36)*(Plantillas!$G$2:$G$114*N(H$6)+Plantillas!$H$2:$H$114)))</f>
        <v>0</v>
      </c>
      <c r="I36" s="20" t="n">
        <f aca="false">IF(I$5="",0,SUMPRODUCT((Plantillas!$A$2:$A$114=I$5)*(Plantillas!$D$2:$D$114=$A36)*(Plantillas!$G$2:$G$114*N(I$6)+Plantillas!$H$2:$H$114)))</f>
        <v>0</v>
      </c>
      <c r="J36" s="20" t="n">
        <f aca="false">IF(J$5="",0,SUMPRODUCT((Plantillas!$A$2:$A$114=J$5)*(Plantillas!$D$2:$D$114=$A36)*(Plantillas!$G$2:$G$114*N(J$6)+Plantillas!$H$2:$H$114)))</f>
        <v>0</v>
      </c>
      <c r="K36" s="20" t="n">
        <f aca="false">IF(K$5="",0,SUMPRODUCT((Plantillas!$A$2:$A$114=K$5)*(Plantillas!$D$2:$D$114=$A36)*(Plantillas!$G$2:$G$114*N(K$6)+Plantillas!$H$2:$H$114)))</f>
        <v>0</v>
      </c>
      <c r="L36" s="20" t="n">
        <f aca="false">IF(L$5="",0,SUMPRODUCT((Plantillas!$A$2:$A$114=L$5)*(Plantillas!$D$2:$D$114=$A36)*(Plantillas!$G$2:$G$114*N(L$6)+Plantillas!$H$2:$H$114)))</f>
        <v>0</v>
      </c>
      <c r="M36" s="20" t="n">
        <f aca="false">IF(M$5="",0,SUMPRODUCT((Plantillas!$A$2:$A$114=M$5)*(Plantillas!$D$2:$D$114=$A36)*(Plantillas!$G$2:$G$114*N(M$6)+Plantillas!$H$2:$H$114)))</f>
        <v>0</v>
      </c>
      <c r="N36" s="20" t="n">
        <f aca="false">IF(N$5="",0,SUMPRODUCT((Plantillas!$A$2:$A$114=N$5)*(Plantillas!$D$2:$D$114=$A36)*(Plantillas!$G$2:$G$114*N(N$6)+Plantillas!$H$2:$H$114)))</f>
        <v>0</v>
      </c>
      <c r="O36" s="20" t="n">
        <f aca="false">IF(O$5="",0,SUMPRODUCT((Plantillas!$A$2:$A$114=O$5)*(Plantillas!$D$2:$D$114=$A36)*(Plantillas!$G$2:$G$114*N(O$6)+Plantillas!$H$2:$H$114)))</f>
        <v>0</v>
      </c>
      <c r="P36" s="20" t="n">
        <f aca="false">IF(P$5="",0,SUMPRODUCT((Plantillas!$A$2:$A$114=P$5)*(Plantillas!$D$2:$D$114=$A36)*(Plantillas!$G$2:$G$114*N(P$6)+Plantillas!$H$2:$H$114)))</f>
        <v>0</v>
      </c>
      <c r="Q36" s="20" t="n">
        <f aca="false">IF(Q$5="",0,SUMPRODUCT((Plantillas!$A$2:$A$114=Q$5)*(Plantillas!$D$2:$D$114=$A36)*(Plantillas!$G$2:$G$114*N(Q$6)+Plantillas!$H$2:$H$114)))</f>
        <v>0</v>
      </c>
      <c r="R36" s="20" t="n">
        <f aca="false">IF(R$5="",0,SUMPRODUCT((Plantillas!$A$2:$A$114=R$5)*(Plantillas!$D$2:$D$114=$A36)*(Plantillas!$G$2:$G$114*N(R$6)+Plantillas!$H$2:$H$114)))</f>
        <v>0</v>
      </c>
      <c r="S36" s="20" t="n">
        <f aca="false">SUM(E36:R36)</f>
        <v>0</v>
      </c>
      <c r="T36" s="21" t="str">
        <f aca="false">IF(INDEX(Partidas!$F$2:$F$99,MATCH(A36,Partidas!$A$2:$A$99,0))="","",INDEX(Partidas!$F$2:$F$99,MATCH(A36,Partidas!$A$2:$A$99,0)))</f>
        <v/>
      </c>
      <c r="U36" s="22" t="n">
        <f aca="false">IF(T36="",0,S36*T36)</f>
        <v>0</v>
      </c>
    </row>
    <row r="37" customFormat="false" ht="15" hidden="false" customHeight="false" outlineLevel="0" collapsed="false">
      <c r="A37" s="17" t="s">
        <v>43</v>
      </c>
      <c r="B37" s="18"/>
      <c r="C37" s="17" t="s">
        <v>44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9" t="n">
        <f aca="false">SUM(U38:U40)</f>
        <v>0</v>
      </c>
    </row>
    <row r="38" customFormat="false" ht="15" hidden="false" customHeight="false" outlineLevel="0" collapsed="false">
      <c r="A38" s="0" t="s">
        <v>180</v>
      </c>
      <c r="B38" s="0" t="s">
        <v>43</v>
      </c>
      <c r="C38" s="9" t="str">
        <f aca="false">INDEX(Partidas!$D$2:$D$99,MATCH(A38,Partidas!$A$2:$A$99,0))</f>
        <v>Impermeabilización de suelo en zona húmeda</v>
      </c>
      <c r="D38" s="9" t="str">
        <f aca="false">INDEX(Partidas!$C$2:$C$99,MATCH(A38,Partidas!$A$2:$A$99,0))</f>
        <v>m2</v>
      </c>
      <c r="E38" s="20" t="n">
        <f aca="false">IF(E$5="",0,SUMPRODUCT((Plantillas!$A$2:$A$114=E$5)*(Plantillas!$D$2:$D$114=$A38)*(Plantillas!$G$2:$G$114*N(E$6)+Plantillas!$H$2:$H$114)))</f>
        <v>0</v>
      </c>
      <c r="F38" s="20" t="n">
        <f aca="false">IF(F$5="",0,SUMPRODUCT((Plantillas!$A$2:$A$114=F$5)*(Plantillas!$D$2:$D$114=$A38)*(Plantillas!$G$2:$G$114*N(F$6)+Plantillas!$H$2:$H$114)))</f>
        <v>0</v>
      </c>
      <c r="G38" s="20" t="n">
        <f aca="false">IF(G$5="",0,SUMPRODUCT((Plantillas!$A$2:$A$114=G$5)*(Plantillas!$D$2:$D$114=$A38)*(Plantillas!$G$2:$G$114*N(G$6)+Plantillas!$H$2:$H$114)))</f>
        <v>0</v>
      </c>
      <c r="H38" s="20" t="n">
        <f aca="false">IF(H$5="",0,SUMPRODUCT((Plantillas!$A$2:$A$114=H$5)*(Plantillas!$D$2:$D$114=$A38)*(Plantillas!$G$2:$G$114*N(H$6)+Plantillas!$H$2:$H$114)))</f>
        <v>0</v>
      </c>
      <c r="I38" s="20" t="n">
        <f aca="false">IF(I$5="",0,SUMPRODUCT((Plantillas!$A$2:$A$114=I$5)*(Plantillas!$D$2:$D$114=$A38)*(Plantillas!$G$2:$G$114*N(I$6)+Plantillas!$H$2:$H$114)))</f>
        <v>0</v>
      </c>
      <c r="J38" s="20" t="n">
        <f aca="false">IF(J$5="",0,SUMPRODUCT((Plantillas!$A$2:$A$114=J$5)*(Plantillas!$D$2:$D$114=$A38)*(Plantillas!$G$2:$G$114*N(J$6)+Plantillas!$H$2:$H$114)))</f>
        <v>0</v>
      </c>
      <c r="K38" s="20" t="n">
        <f aca="false">IF(K$5="",0,SUMPRODUCT((Plantillas!$A$2:$A$114=K$5)*(Plantillas!$D$2:$D$114=$A38)*(Plantillas!$G$2:$G$114*N(K$6)+Plantillas!$H$2:$H$114)))</f>
        <v>0</v>
      </c>
      <c r="L38" s="20" t="n">
        <f aca="false">IF(L$5="",0,SUMPRODUCT((Plantillas!$A$2:$A$114=L$5)*(Plantillas!$D$2:$D$114=$A38)*(Plantillas!$G$2:$G$114*N(L$6)+Plantillas!$H$2:$H$114)))</f>
        <v>0</v>
      </c>
      <c r="M38" s="20" t="n">
        <f aca="false">IF(M$5="",0,SUMPRODUCT((Plantillas!$A$2:$A$114=M$5)*(Plantillas!$D$2:$D$114=$A38)*(Plantillas!$G$2:$G$114*N(M$6)+Plantillas!$H$2:$H$114)))</f>
        <v>3</v>
      </c>
      <c r="N38" s="20" t="n">
        <f aca="false">IF(N$5="",0,SUMPRODUCT((Plantillas!$A$2:$A$114=N$5)*(Plantillas!$D$2:$D$114=$A38)*(Plantillas!$G$2:$G$114*N(N$6)+Plantillas!$H$2:$H$114)))</f>
        <v>5</v>
      </c>
      <c r="O38" s="20" t="n">
        <f aca="false">IF(O$5="",0,SUMPRODUCT((Plantillas!$A$2:$A$114=O$5)*(Plantillas!$D$2:$D$114=$A38)*(Plantillas!$G$2:$G$114*N(O$6)+Plantillas!$H$2:$H$114)))</f>
        <v>4</v>
      </c>
      <c r="P38" s="20" t="n">
        <f aca="false">IF(P$5="",0,SUMPRODUCT((Plantillas!$A$2:$A$114=P$5)*(Plantillas!$D$2:$D$114=$A38)*(Plantillas!$G$2:$G$114*N(P$6)+Plantillas!$H$2:$H$114)))</f>
        <v>0</v>
      </c>
      <c r="Q38" s="20" t="n">
        <f aca="false">IF(Q$5="",0,SUMPRODUCT((Plantillas!$A$2:$A$114=Q$5)*(Plantillas!$D$2:$D$114=$A38)*(Plantillas!$G$2:$G$114*N(Q$6)+Plantillas!$H$2:$H$114)))</f>
        <v>0</v>
      </c>
      <c r="R38" s="20" t="n">
        <f aca="false">IF(R$5="",0,SUMPRODUCT((Plantillas!$A$2:$A$114=R$5)*(Plantillas!$D$2:$D$114=$A38)*(Plantillas!$G$2:$G$114*N(R$6)+Plantillas!$H$2:$H$114)))</f>
        <v>0</v>
      </c>
      <c r="S38" s="20" t="n">
        <f aca="false">SUM(E38:R38)</f>
        <v>12</v>
      </c>
      <c r="T38" s="21" t="str">
        <f aca="false">IF(INDEX(Partidas!$F$2:$F$99,MATCH(A38,Partidas!$A$2:$A$99,0))="","",INDEX(Partidas!$F$2:$F$99,MATCH(A38,Partidas!$A$2:$A$99,0)))</f>
        <v/>
      </c>
      <c r="U38" s="22" t="n">
        <f aca="false">IF(T38="",0,S38*T38)</f>
        <v>0</v>
      </c>
    </row>
    <row r="39" customFormat="false" ht="15" hidden="false" customHeight="false" outlineLevel="0" collapsed="false">
      <c r="A39" s="0" t="s">
        <v>183</v>
      </c>
      <c r="B39" s="0" t="s">
        <v>43</v>
      </c>
      <c r="C39" s="9" t="str">
        <f aca="false">INDEX(Partidas!$D$2:$D$99,MATCH(A39,Partidas!$A$2:$A$99,0))</f>
        <v>Desagüe lineal y manta impermeable para ducha de obra</v>
      </c>
      <c r="D39" s="9" t="str">
        <f aca="false">INDEX(Partidas!$C$2:$C$99,MATCH(A39,Partidas!$A$2:$A$99,0))</f>
        <v>ud</v>
      </c>
      <c r="E39" s="20" t="n">
        <f aca="false">IF(E$5="",0,SUMPRODUCT((Plantillas!$A$2:$A$114=E$5)*(Plantillas!$D$2:$D$114=$A39)*(Plantillas!$G$2:$G$114*N(E$6)+Plantillas!$H$2:$H$114)))</f>
        <v>0</v>
      </c>
      <c r="F39" s="20" t="n">
        <f aca="false">IF(F$5="",0,SUMPRODUCT((Plantillas!$A$2:$A$114=F$5)*(Plantillas!$D$2:$D$114=$A39)*(Plantillas!$G$2:$G$114*N(F$6)+Plantillas!$H$2:$H$114)))</f>
        <v>0</v>
      </c>
      <c r="G39" s="20" t="n">
        <f aca="false">IF(G$5="",0,SUMPRODUCT((Plantillas!$A$2:$A$114=G$5)*(Plantillas!$D$2:$D$114=$A39)*(Plantillas!$G$2:$G$114*N(G$6)+Plantillas!$H$2:$H$114)))</f>
        <v>0</v>
      </c>
      <c r="H39" s="20" t="n">
        <f aca="false">IF(H$5="",0,SUMPRODUCT((Plantillas!$A$2:$A$114=H$5)*(Plantillas!$D$2:$D$114=$A39)*(Plantillas!$G$2:$G$114*N(H$6)+Plantillas!$H$2:$H$114)))</f>
        <v>0</v>
      </c>
      <c r="I39" s="20" t="n">
        <f aca="false">IF(I$5="",0,SUMPRODUCT((Plantillas!$A$2:$A$114=I$5)*(Plantillas!$D$2:$D$114=$A39)*(Plantillas!$G$2:$G$114*N(I$6)+Plantillas!$H$2:$H$114)))</f>
        <v>0</v>
      </c>
      <c r="J39" s="20" t="n">
        <f aca="false">IF(J$5="",0,SUMPRODUCT((Plantillas!$A$2:$A$114=J$5)*(Plantillas!$D$2:$D$114=$A39)*(Plantillas!$G$2:$G$114*N(J$6)+Plantillas!$H$2:$H$114)))</f>
        <v>0</v>
      </c>
      <c r="K39" s="20" t="n">
        <f aca="false">IF(K$5="",0,SUMPRODUCT((Plantillas!$A$2:$A$114=K$5)*(Plantillas!$D$2:$D$114=$A39)*(Plantillas!$G$2:$G$114*N(K$6)+Plantillas!$H$2:$H$114)))</f>
        <v>0</v>
      </c>
      <c r="L39" s="20" t="n">
        <f aca="false">IF(L$5="",0,SUMPRODUCT((Plantillas!$A$2:$A$114=L$5)*(Plantillas!$D$2:$D$114=$A39)*(Plantillas!$G$2:$G$114*N(L$6)+Plantillas!$H$2:$H$114)))</f>
        <v>0</v>
      </c>
      <c r="M39" s="20" t="n">
        <f aca="false">IF(M$5="",0,SUMPRODUCT((Plantillas!$A$2:$A$114=M$5)*(Plantillas!$D$2:$D$114=$A39)*(Plantillas!$G$2:$G$114*N(M$6)+Plantillas!$H$2:$H$114)))</f>
        <v>0</v>
      </c>
      <c r="N39" s="20" t="n">
        <f aca="false">IF(N$5="",0,SUMPRODUCT((Plantillas!$A$2:$A$114=N$5)*(Plantillas!$D$2:$D$114=$A39)*(Plantillas!$G$2:$G$114*N(N$6)+Plantillas!$H$2:$H$114)))</f>
        <v>0</v>
      </c>
      <c r="O39" s="20" t="n">
        <f aca="false">IF(O$5="",0,SUMPRODUCT((Plantillas!$A$2:$A$114=O$5)*(Plantillas!$D$2:$D$114=$A39)*(Plantillas!$G$2:$G$114*N(O$6)+Plantillas!$H$2:$H$114)))</f>
        <v>0</v>
      </c>
      <c r="P39" s="20" t="n">
        <f aca="false">IF(P$5="",0,SUMPRODUCT((Plantillas!$A$2:$A$114=P$5)*(Plantillas!$D$2:$D$114=$A39)*(Plantillas!$G$2:$G$114*N(P$6)+Plantillas!$H$2:$H$114)))</f>
        <v>0</v>
      </c>
      <c r="Q39" s="20" t="n">
        <f aca="false">IF(Q$5="",0,SUMPRODUCT((Plantillas!$A$2:$A$114=Q$5)*(Plantillas!$D$2:$D$114=$A39)*(Plantillas!$G$2:$G$114*N(Q$6)+Plantillas!$H$2:$H$114)))</f>
        <v>0</v>
      </c>
      <c r="R39" s="20" t="n">
        <f aca="false">IF(R$5="",0,SUMPRODUCT((Plantillas!$A$2:$A$114=R$5)*(Plantillas!$D$2:$D$114=$A39)*(Plantillas!$G$2:$G$114*N(R$6)+Plantillas!$H$2:$H$114)))</f>
        <v>0</v>
      </c>
      <c r="S39" s="20" t="n">
        <f aca="false">SUM(E39:R39)</f>
        <v>0</v>
      </c>
      <c r="T39" s="21" t="n">
        <f aca="false">IF(INDEX(Partidas!$F$2:$F$99,MATCH(A39,Partidas!$A$2:$A$99,0))="","",INDEX(Partidas!$F$2:$F$99,MATCH(A39,Partidas!$A$2:$A$99,0)))</f>
        <v>340</v>
      </c>
      <c r="U39" s="22" t="n">
        <f aca="false">IF(T39="",0,S39*T39)</f>
        <v>0</v>
      </c>
    </row>
    <row r="40" customFormat="false" ht="15" hidden="false" customHeight="false" outlineLevel="0" collapsed="false">
      <c r="A40" s="0" t="s">
        <v>187</v>
      </c>
      <c r="B40" s="0" t="s">
        <v>43</v>
      </c>
      <c r="C40" s="9" t="str">
        <f aca="false">INDEX(Partidas!$D$2:$D$99,MATCH(A40,Partidas!$A$2:$A$99,0))</f>
        <v>Lámina anti-impacto bajo pavimento</v>
      </c>
      <c r="D40" s="9" t="str">
        <f aca="false">INDEX(Partidas!$C$2:$C$99,MATCH(A40,Partidas!$A$2:$A$99,0))</f>
        <v>m2</v>
      </c>
      <c r="E40" s="20" t="n">
        <f aca="false">IF(E$5="",0,SUMPRODUCT((Plantillas!$A$2:$A$114=E$5)*(Plantillas!$D$2:$D$114=$A40)*(Plantillas!$G$2:$G$114*N(E$6)+Plantillas!$H$2:$H$114)))</f>
        <v>0</v>
      </c>
      <c r="F40" s="20" t="n">
        <f aca="false">IF(F$5="",0,SUMPRODUCT((Plantillas!$A$2:$A$114=F$5)*(Plantillas!$D$2:$D$114=$A40)*(Plantillas!$G$2:$G$114*N(F$6)+Plantillas!$H$2:$H$114)))</f>
        <v>0</v>
      </c>
      <c r="G40" s="20" t="n">
        <f aca="false">IF(G$5="",0,SUMPRODUCT((Plantillas!$A$2:$A$114=G$5)*(Plantillas!$D$2:$D$114=$A40)*(Plantillas!$G$2:$G$114*N(G$6)+Plantillas!$H$2:$H$114)))</f>
        <v>0</v>
      </c>
      <c r="H40" s="20" t="n">
        <f aca="false">IF(H$5="",0,SUMPRODUCT((Plantillas!$A$2:$A$114=H$5)*(Plantillas!$D$2:$D$114=$A40)*(Plantillas!$G$2:$G$114*N(H$6)+Plantillas!$H$2:$H$114)))</f>
        <v>0</v>
      </c>
      <c r="I40" s="20" t="n">
        <f aca="false">IF(I$5="",0,SUMPRODUCT((Plantillas!$A$2:$A$114=I$5)*(Plantillas!$D$2:$D$114=$A40)*(Plantillas!$G$2:$G$114*N(I$6)+Plantillas!$H$2:$H$114)))</f>
        <v>0</v>
      </c>
      <c r="J40" s="20" t="n">
        <f aca="false">IF(J$5="",0,SUMPRODUCT((Plantillas!$A$2:$A$114=J$5)*(Plantillas!$D$2:$D$114=$A40)*(Plantillas!$G$2:$G$114*N(J$6)+Plantillas!$H$2:$H$114)))</f>
        <v>0</v>
      </c>
      <c r="K40" s="20" t="n">
        <f aca="false">IF(K$5="",0,SUMPRODUCT((Plantillas!$A$2:$A$114=K$5)*(Plantillas!$D$2:$D$114=$A40)*(Plantillas!$G$2:$G$114*N(K$6)+Plantillas!$H$2:$H$114)))</f>
        <v>0</v>
      </c>
      <c r="L40" s="20" t="n">
        <f aca="false">IF(L$5="",0,SUMPRODUCT((Plantillas!$A$2:$A$114=L$5)*(Plantillas!$D$2:$D$114=$A40)*(Plantillas!$G$2:$G$114*N(L$6)+Plantillas!$H$2:$H$114)))</f>
        <v>0</v>
      </c>
      <c r="M40" s="20" t="n">
        <f aca="false">IF(M$5="",0,SUMPRODUCT((Plantillas!$A$2:$A$114=M$5)*(Plantillas!$D$2:$D$114=$A40)*(Plantillas!$G$2:$G$114*N(M$6)+Plantillas!$H$2:$H$114)))</f>
        <v>0</v>
      </c>
      <c r="N40" s="20" t="n">
        <f aca="false">IF(N$5="",0,SUMPRODUCT((Plantillas!$A$2:$A$114=N$5)*(Plantillas!$D$2:$D$114=$A40)*(Plantillas!$G$2:$G$114*N(N$6)+Plantillas!$H$2:$H$114)))</f>
        <v>0</v>
      </c>
      <c r="O40" s="20" t="n">
        <f aca="false">IF(O$5="",0,SUMPRODUCT((Plantillas!$A$2:$A$114=O$5)*(Plantillas!$D$2:$D$114=$A40)*(Plantillas!$G$2:$G$114*N(O$6)+Plantillas!$H$2:$H$114)))</f>
        <v>0</v>
      </c>
      <c r="P40" s="20" t="n">
        <f aca="false">IF(P$5="",0,SUMPRODUCT((Plantillas!$A$2:$A$114=P$5)*(Plantillas!$D$2:$D$114=$A40)*(Plantillas!$G$2:$G$114*N(P$6)+Plantillas!$H$2:$H$114)))</f>
        <v>0</v>
      </c>
      <c r="Q40" s="20" t="n">
        <f aca="false">IF(Q$5="",0,SUMPRODUCT((Plantillas!$A$2:$A$114=Q$5)*(Plantillas!$D$2:$D$114=$A40)*(Plantillas!$G$2:$G$114*N(Q$6)+Plantillas!$H$2:$H$114)))</f>
        <v>0</v>
      </c>
      <c r="R40" s="20" t="n">
        <f aca="false">IF(R$5="",0,SUMPRODUCT((Plantillas!$A$2:$A$114=R$5)*(Plantillas!$D$2:$D$114=$A40)*(Plantillas!$G$2:$G$114*N(R$6)+Plantillas!$H$2:$H$114)))</f>
        <v>0</v>
      </c>
      <c r="S40" s="20" t="n">
        <f aca="false">SUM(E40:R40)</f>
        <v>0</v>
      </c>
      <c r="T40" s="21" t="str">
        <f aca="false">IF(INDEX(Partidas!$F$2:$F$99,MATCH(A40,Partidas!$A$2:$A$99,0))="","",INDEX(Partidas!$F$2:$F$99,MATCH(A40,Partidas!$A$2:$A$99,0)))</f>
        <v/>
      </c>
      <c r="U40" s="22" t="n">
        <f aca="false">IF(T40="",0,S40*T40)</f>
        <v>0</v>
      </c>
    </row>
    <row r="41" customFormat="false" ht="15" hidden="false" customHeight="false" outlineLevel="0" collapsed="false">
      <c r="A41" s="17" t="s">
        <v>46</v>
      </c>
      <c r="B41" s="18"/>
      <c r="C41" s="17" t="s">
        <v>47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9" t="n">
        <f aca="false">SUM(U42:U46)</f>
        <v>3483</v>
      </c>
    </row>
    <row r="42" customFormat="false" ht="15" hidden="false" customHeight="false" outlineLevel="0" collapsed="false">
      <c r="A42" s="0" t="s">
        <v>190</v>
      </c>
      <c r="B42" s="0" t="s">
        <v>46</v>
      </c>
      <c r="C42" s="9" t="str">
        <f aca="false">INDEX(Partidas!$D$2:$D$99,MATCH(A42,Partidas!$A$2:$A$99,0))</f>
        <v>Alicatado de gres porcelánico</v>
      </c>
      <c r="D42" s="9" t="str">
        <f aca="false">INDEX(Partidas!$C$2:$C$99,MATCH(A42,Partidas!$A$2:$A$99,0))</f>
        <v>m2</v>
      </c>
      <c r="E42" s="20" t="n">
        <f aca="false">IF(E$5="",0,SUMPRODUCT((Plantillas!$A$2:$A$114=E$5)*(Plantillas!$D$2:$D$114=$A42)*(Plantillas!$G$2:$G$114*N(E$6)+Plantillas!$H$2:$H$114)))</f>
        <v>0</v>
      </c>
      <c r="F42" s="20" t="n">
        <f aca="false">IF(F$5="",0,SUMPRODUCT((Plantillas!$A$2:$A$114=F$5)*(Plantillas!$D$2:$D$114=$A42)*(Plantillas!$G$2:$G$114*N(F$6)+Plantillas!$H$2:$H$114)))</f>
        <v>0</v>
      </c>
      <c r="G42" s="20" t="n">
        <f aca="false">IF(G$5="",0,SUMPRODUCT((Plantillas!$A$2:$A$114=G$5)*(Plantillas!$D$2:$D$114=$A42)*(Plantillas!$G$2:$G$114*N(G$6)+Plantillas!$H$2:$H$114)))</f>
        <v>0</v>
      </c>
      <c r="H42" s="20" t="n">
        <f aca="false">IF(H$5="",0,SUMPRODUCT((Plantillas!$A$2:$A$114=H$5)*(Plantillas!$D$2:$D$114=$A42)*(Plantillas!$G$2:$G$114*N(H$6)+Plantillas!$H$2:$H$114)))</f>
        <v>0</v>
      </c>
      <c r="I42" s="20" t="n">
        <f aca="false">IF(I$5="",0,SUMPRODUCT((Plantillas!$A$2:$A$114=I$5)*(Plantillas!$D$2:$D$114=$A42)*(Plantillas!$G$2:$G$114*N(I$6)+Plantillas!$H$2:$H$114)))</f>
        <v>0</v>
      </c>
      <c r="J42" s="20" t="n">
        <f aca="false">IF(J$5="",0,SUMPRODUCT((Plantillas!$A$2:$A$114=J$5)*(Plantillas!$D$2:$D$114=$A42)*(Plantillas!$G$2:$G$114*N(J$6)+Plantillas!$H$2:$H$114)))</f>
        <v>0</v>
      </c>
      <c r="K42" s="20" t="n">
        <f aca="false">IF(K$5="",0,SUMPRODUCT((Plantillas!$A$2:$A$114=K$5)*(Plantillas!$D$2:$D$114=$A42)*(Plantillas!$G$2:$G$114*N(K$6)+Plantillas!$H$2:$H$114)))</f>
        <v>0</v>
      </c>
      <c r="L42" s="20" t="n">
        <f aca="false">IF(L$5="",0,SUMPRODUCT((Plantillas!$A$2:$A$114=L$5)*(Plantillas!$D$2:$D$114=$A42)*(Plantillas!$G$2:$G$114*N(L$6)+Plantillas!$H$2:$H$114)))</f>
        <v>5.4</v>
      </c>
      <c r="M42" s="20" t="n">
        <f aca="false">IF(M$5="",0,SUMPRODUCT((Plantillas!$A$2:$A$114=M$5)*(Plantillas!$D$2:$D$114=$A42)*(Plantillas!$G$2:$G$114*N(M$6)+Plantillas!$H$2:$H$114)))</f>
        <v>0</v>
      </c>
      <c r="N42" s="20" t="n">
        <f aca="false">IF(N$5="",0,SUMPRODUCT((Plantillas!$A$2:$A$114=N$5)*(Plantillas!$D$2:$D$114=$A42)*(Plantillas!$G$2:$G$114*N(N$6)+Plantillas!$H$2:$H$114)))</f>
        <v>18.5</v>
      </c>
      <c r="O42" s="20" t="n">
        <f aca="false">IF(O$5="",0,SUMPRODUCT((Plantillas!$A$2:$A$114=O$5)*(Plantillas!$D$2:$D$114=$A42)*(Plantillas!$G$2:$G$114*N(O$6)+Plantillas!$H$2:$H$114)))</f>
        <v>14.8</v>
      </c>
      <c r="P42" s="20" t="n">
        <f aca="false">IF(P$5="",0,SUMPRODUCT((Plantillas!$A$2:$A$114=P$5)*(Plantillas!$D$2:$D$114=$A42)*(Plantillas!$G$2:$G$114*N(P$6)+Plantillas!$H$2:$H$114)))</f>
        <v>0</v>
      </c>
      <c r="Q42" s="20" t="n">
        <f aca="false">IF(Q$5="",0,SUMPRODUCT((Plantillas!$A$2:$A$114=Q$5)*(Plantillas!$D$2:$D$114=$A42)*(Plantillas!$G$2:$G$114*N(Q$6)+Plantillas!$H$2:$H$114)))</f>
        <v>0</v>
      </c>
      <c r="R42" s="20" t="n">
        <f aca="false">IF(R$5="",0,SUMPRODUCT((Plantillas!$A$2:$A$114=R$5)*(Plantillas!$D$2:$D$114=$A42)*(Plantillas!$G$2:$G$114*N(R$6)+Plantillas!$H$2:$H$114)))</f>
        <v>0</v>
      </c>
      <c r="S42" s="20" t="n">
        <f aca="false">SUM(E42:R42)</f>
        <v>38.7</v>
      </c>
      <c r="T42" s="21" t="n">
        <f aca="false">IF(INDEX(Partidas!$F$2:$F$99,MATCH(A42,Partidas!$A$2:$A$99,0))="","",INDEX(Partidas!$F$2:$F$99,MATCH(A42,Partidas!$A$2:$A$99,0)))</f>
        <v>90</v>
      </c>
      <c r="U42" s="22" t="n">
        <f aca="false">IF(T42="",0,S42*T42)</f>
        <v>3483</v>
      </c>
    </row>
    <row r="43" customFormat="false" ht="15" hidden="false" customHeight="false" outlineLevel="0" collapsed="false">
      <c r="A43" s="0" t="s">
        <v>194</v>
      </c>
      <c r="B43" s="0" t="s">
        <v>46</v>
      </c>
      <c r="C43" s="9" t="str">
        <f aca="false">INDEX(Partidas!$D$2:$D$99,MATCH(A43,Partidas!$A$2:$A$99,0))</f>
        <v>Enlucido o alisado de paredes</v>
      </c>
      <c r="D43" s="9" t="str">
        <f aca="false">INDEX(Partidas!$C$2:$C$99,MATCH(A43,Partidas!$A$2:$A$99,0))</f>
        <v>m2</v>
      </c>
      <c r="E43" s="20" t="n">
        <f aca="false">IF(E$5="",0,SUMPRODUCT((Plantillas!$A$2:$A$114=E$5)*(Plantillas!$D$2:$D$114=$A43)*(Plantillas!$G$2:$G$114*N(E$6)+Plantillas!$H$2:$H$114)))</f>
        <v>0</v>
      </c>
      <c r="F43" s="20" t="n">
        <f aca="false">IF(F$5="",0,SUMPRODUCT((Plantillas!$A$2:$A$114=F$5)*(Plantillas!$D$2:$D$114=$A43)*(Plantillas!$G$2:$G$114*N(F$6)+Plantillas!$H$2:$H$114)))</f>
        <v>0</v>
      </c>
      <c r="G43" s="20" t="n">
        <f aca="false">IF(G$5="",0,SUMPRODUCT((Plantillas!$A$2:$A$114=G$5)*(Plantillas!$D$2:$D$114=$A43)*(Plantillas!$G$2:$G$114*N(G$6)+Plantillas!$H$2:$H$114)))</f>
        <v>0</v>
      </c>
      <c r="H43" s="20" t="n">
        <f aca="false">IF(H$5="",0,SUMPRODUCT((Plantillas!$A$2:$A$114=H$5)*(Plantillas!$D$2:$D$114=$A43)*(Plantillas!$G$2:$G$114*N(H$6)+Plantillas!$H$2:$H$114)))</f>
        <v>0</v>
      </c>
      <c r="I43" s="20" t="n">
        <f aca="false">IF(I$5="",0,SUMPRODUCT((Plantillas!$A$2:$A$114=I$5)*(Plantillas!$D$2:$D$114=$A43)*(Plantillas!$G$2:$G$114*N(I$6)+Plantillas!$H$2:$H$114)))</f>
        <v>0</v>
      </c>
      <c r="J43" s="20" t="n">
        <f aca="false">IF(J$5="",0,SUMPRODUCT((Plantillas!$A$2:$A$114=J$5)*(Plantillas!$D$2:$D$114=$A43)*(Plantillas!$G$2:$G$114*N(J$6)+Plantillas!$H$2:$H$114)))</f>
        <v>0</v>
      </c>
      <c r="K43" s="20" t="n">
        <f aca="false">IF(K$5="",0,SUMPRODUCT((Plantillas!$A$2:$A$114=K$5)*(Plantillas!$D$2:$D$114=$A43)*(Plantillas!$G$2:$G$114*N(K$6)+Plantillas!$H$2:$H$114)))</f>
        <v>0</v>
      </c>
      <c r="L43" s="20" t="n">
        <f aca="false">IF(L$5="",0,SUMPRODUCT((Plantillas!$A$2:$A$114=L$5)*(Plantillas!$D$2:$D$114=$A43)*(Plantillas!$G$2:$G$114*N(L$6)+Plantillas!$H$2:$H$114)))</f>
        <v>0</v>
      </c>
      <c r="M43" s="20" t="n">
        <f aca="false">IF(M$5="",0,SUMPRODUCT((Plantillas!$A$2:$A$114=M$5)*(Plantillas!$D$2:$D$114=$A43)*(Plantillas!$G$2:$G$114*N(M$6)+Plantillas!$H$2:$H$114)))</f>
        <v>0</v>
      </c>
      <c r="N43" s="20" t="n">
        <f aca="false">IF(N$5="",0,SUMPRODUCT((Plantillas!$A$2:$A$114=N$5)*(Plantillas!$D$2:$D$114=$A43)*(Plantillas!$G$2:$G$114*N(N$6)+Plantillas!$H$2:$H$114)))</f>
        <v>0</v>
      </c>
      <c r="O43" s="20" t="n">
        <f aca="false">IF(O$5="",0,SUMPRODUCT((Plantillas!$A$2:$A$114=O$5)*(Plantillas!$D$2:$D$114=$A43)*(Plantillas!$G$2:$G$114*N(O$6)+Plantillas!$H$2:$H$114)))</f>
        <v>0</v>
      </c>
      <c r="P43" s="20" t="n">
        <f aca="false">IF(P$5="",0,SUMPRODUCT((Plantillas!$A$2:$A$114=P$5)*(Plantillas!$D$2:$D$114=$A43)*(Plantillas!$G$2:$G$114*N(P$6)+Plantillas!$H$2:$H$114)))</f>
        <v>0</v>
      </c>
      <c r="Q43" s="20" t="n">
        <f aca="false">IF(Q$5="",0,SUMPRODUCT((Plantillas!$A$2:$A$114=Q$5)*(Plantillas!$D$2:$D$114=$A43)*(Plantillas!$G$2:$G$114*N(Q$6)+Plantillas!$H$2:$H$114)))</f>
        <v>0</v>
      </c>
      <c r="R43" s="20" t="n">
        <f aca="false">IF(R$5="",0,SUMPRODUCT((Plantillas!$A$2:$A$114=R$5)*(Plantillas!$D$2:$D$114=$A43)*(Plantillas!$G$2:$G$114*N(R$6)+Plantillas!$H$2:$H$114)))</f>
        <v>0</v>
      </c>
      <c r="S43" s="20" t="n">
        <f aca="false">SUM(E43:R43)</f>
        <v>0</v>
      </c>
      <c r="T43" s="21" t="str">
        <f aca="false">IF(INDEX(Partidas!$F$2:$F$99,MATCH(A43,Partidas!$A$2:$A$99,0))="","",INDEX(Partidas!$F$2:$F$99,MATCH(A43,Partidas!$A$2:$A$99,0)))</f>
        <v/>
      </c>
      <c r="U43" s="22" t="n">
        <f aca="false">IF(T43="",0,S43*T43)</f>
        <v>0</v>
      </c>
    </row>
    <row r="44" customFormat="false" ht="15" hidden="false" customHeight="false" outlineLevel="0" collapsed="false">
      <c r="A44" s="0" t="s">
        <v>197</v>
      </c>
      <c r="B44" s="0" t="s">
        <v>46</v>
      </c>
      <c r="C44" s="9" t="str">
        <f aca="false">INDEX(Partidas!$D$2:$D$99,MATCH(A44,Partidas!$A$2:$A$99,0))</f>
        <v>Moldura de pared tipo boiserie</v>
      </c>
      <c r="D44" s="9" t="str">
        <f aca="false">INDEX(Partidas!$C$2:$C$99,MATCH(A44,Partidas!$A$2:$A$99,0))</f>
        <v>m</v>
      </c>
      <c r="E44" s="20" t="n">
        <f aca="false">IF(E$5="",0,SUMPRODUCT((Plantillas!$A$2:$A$114=E$5)*(Plantillas!$D$2:$D$114=$A44)*(Plantillas!$G$2:$G$114*N(E$6)+Plantillas!$H$2:$H$114)))</f>
        <v>0</v>
      </c>
      <c r="F44" s="20" t="n">
        <f aca="false">IF(F$5="",0,SUMPRODUCT((Plantillas!$A$2:$A$114=F$5)*(Plantillas!$D$2:$D$114=$A44)*(Plantillas!$G$2:$G$114*N(F$6)+Plantillas!$H$2:$H$114)))</f>
        <v>0</v>
      </c>
      <c r="G44" s="20" t="n">
        <f aca="false">IF(G$5="",0,SUMPRODUCT((Plantillas!$A$2:$A$114=G$5)*(Plantillas!$D$2:$D$114=$A44)*(Plantillas!$G$2:$G$114*N(G$6)+Plantillas!$H$2:$H$114)))</f>
        <v>0</v>
      </c>
      <c r="H44" s="20" t="n">
        <f aca="false">IF(H$5="",0,SUMPRODUCT((Plantillas!$A$2:$A$114=H$5)*(Plantillas!$D$2:$D$114=$A44)*(Plantillas!$G$2:$G$114*N(H$6)+Plantillas!$H$2:$H$114)))</f>
        <v>0</v>
      </c>
      <c r="I44" s="20" t="n">
        <f aca="false">IF(I$5="",0,SUMPRODUCT((Plantillas!$A$2:$A$114=I$5)*(Plantillas!$D$2:$D$114=$A44)*(Plantillas!$G$2:$G$114*N(I$6)+Plantillas!$H$2:$H$114)))</f>
        <v>0</v>
      </c>
      <c r="J44" s="20" t="n">
        <f aca="false">IF(J$5="",0,SUMPRODUCT((Plantillas!$A$2:$A$114=J$5)*(Plantillas!$D$2:$D$114=$A44)*(Plantillas!$G$2:$G$114*N(J$6)+Plantillas!$H$2:$H$114)))</f>
        <v>0</v>
      </c>
      <c r="K44" s="20" t="n">
        <f aca="false">IF(K$5="",0,SUMPRODUCT((Plantillas!$A$2:$A$114=K$5)*(Plantillas!$D$2:$D$114=$A44)*(Plantillas!$G$2:$G$114*N(K$6)+Plantillas!$H$2:$H$114)))</f>
        <v>0</v>
      </c>
      <c r="L44" s="20" t="n">
        <f aca="false">IF(L$5="",0,SUMPRODUCT((Plantillas!$A$2:$A$114=L$5)*(Plantillas!$D$2:$D$114=$A44)*(Plantillas!$G$2:$G$114*N(L$6)+Plantillas!$H$2:$H$114)))</f>
        <v>0</v>
      </c>
      <c r="M44" s="20" t="n">
        <f aca="false">IF(M$5="",0,SUMPRODUCT((Plantillas!$A$2:$A$114=M$5)*(Plantillas!$D$2:$D$114=$A44)*(Plantillas!$G$2:$G$114*N(M$6)+Plantillas!$H$2:$H$114)))</f>
        <v>0</v>
      </c>
      <c r="N44" s="20" t="n">
        <f aca="false">IF(N$5="",0,SUMPRODUCT((Plantillas!$A$2:$A$114=N$5)*(Plantillas!$D$2:$D$114=$A44)*(Plantillas!$G$2:$G$114*N(N$6)+Plantillas!$H$2:$H$114)))</f>
        <v>0</v>
      </c>
      <c r="O44" s="20" t="n">
        <f aca="false">IF(O$5="",0,SUMPRODUCT((Plantillas!$A$2:$A$114=O$5)*(Plantillas!$D$2:$D$114=$A44)*(Plantillas!$G$2:$G$114*N(O$6)+Plantillas!$H$2:$H$114)))</f>
        <v>0</v>
      </c>
      <c r="P44" s="20" t="n">
        <f aca="false">IF(P$5="",0,SUMPRODUCT((Plantillas!$A$2:$A$114=P$5)*(Plantillas!$D$2:$D$114=$A44)*(Plantillas!$G$2:$G$114*N(P$6)+Plantillas!$H$2:$H$114)))</f>
        <v>0</v>
      </c>
      <c r="Q44" s="20" t="n">
        <f aca="false">IF(Q$5="",0,SUMPRODUCT((Plantillas!$A$2:$A$114=Q$5)*(Plantillas!$D$2:$D$114=$A44)*(Plantillas!$G$2:$G$114*N(Q$6)+Plantillas!$H$2:$H$114)))</f>
        <v>0</v>
      </c>
      <c r="R44" s="20" t="n">
        <f aca="false">IF(R$5="",0,SUMPRODUCT((Plantillas!$A$2:$A$114=R$5)*(Plantillas!$D$2:$D$114=$A44)*(Plantillas!$G$2:$G$114*N(R$6)+Plantillas!$H$2:$H$114)))</f>
        <v>0</v>
      </c>
      <c r="S44" s="20" t="n">
        <f aca="false">SUM(E44:R44)</f>
        <v>0</v>
      </c>
      <c r="T44" s="21" t="n">
        <f aca="false">IF(INDEX(Partidas!$F$2:$F$99,MATCH(A44,Partidas!$A$2:$A$99,0))="","",INDEX(Partidas!$F$2:$F$99,MATCH(A44,Partidas!$A$2:$A$99,0)))</f>
        <v>20</v>
      </c>
      <c r="U44" s="22" t="n">
        <f aca="false">IF(T44="",0,S44*T44)</f>
        <v>0</v>
      </c>
    </row>
    <row r="45" customFormat="false" ht="15" hidden="false" customHeight="false" outlineLevel="0" collapsed="false">
      <c r="A45" s="0" t="s">
        <v>201</v>
      </c>
      <c r="B45" s="0" t="s">
        <v>46</v>
      </c>
      <c r="C45" s="9" t="str">
        <f aca="false">INDEX(Partidas!$D$2:$D$99,MATCH(A45,Partidas!$A$2:$A$99,0))</f>
        <v>Espejo decorativo en pared</v>
      </c>
      <c r="D45" s="9" t="str">
        <f aca="false">INDEX(Partidas!$C$2:$C$99,MATCH(A45,Partidas!$A$2:$A$99,0))</f>
        <v>m2</v>
      </c>
      <c r="E45" s="20" t="n">
        <f aca="false">IF(E$5="",0,SUMPRODUCT((Plantillas!$A$2:$A$114=E$5)*(Plantillas!$D$2:$D$114=$A45)*(Plantillas!$G$2:$G$114*N(E$6)+Plantillas!$H$2:$H$114)))</f>
        <v>0</v>
      </c>
      <c r="F45" s="20" t="n">
        <f aca="false">IF(F$5="",0,SUMPRODUCT((Plantillas!$A$2:$A$114=F$5)*(Plantillas!$D$2:$D$114=$A45)*(Plantillas!$G$2:$G$114*N(F$6)+Plantillas!$H$2:$H$114)))</f>
        <v>0</v>
      </c>
      <c r="G45" s="20" t="n">
        <f aca="false">IF(G$5="",0,SUMPRODUCT((Plantillas!$A$2:$A$114=G$5)*(Plantillas!$D$2:$D$114=$A45)*(Plantillas!$G$2:$G$114*N(G$6)+Plantillas!$H$2:$H$114)))</f>
        <v>0</v>
      </c>
      <c r="H45" s="20" t="n">
        <f aca="false">IF(H$5="",0,SUMPRODUCT((Plantillas!$A$2:$A$114=H$5)*(Plantillas!$D$2:$D$114=$A45)*(Plantillas!$G$2:$G$114*N(H$6)+Plantillas!$H$2:$H$114)))</f>
        <v>0</v>
      </c>
      <c r="I45" s="20" t="n">
        <f aca="false">IF(I$5="",0,SUMPRODUCT((Plantillas!$A$2:$A$114=I$5)*(Plantillas!$D$2:$D$114=$A45)*(Plantillas!$G$2:$G$114*N(I$6)+Plantillas!$H$2:$H$114)))</f>
        <v>0</v>
      </c>
      <c r="J45" s="20" t="n">
        <f aca="false">IF(J$5="",0,SUMPRODUCT((Plantillas!$A$2:$A$114=J$5)*(Plantillas!$D$2:$D$114=$A45)*(Plantillas!$G$2:$G$114*N(J$6)+Plantillas!$H$2:$H$114)))</f>
        <v>0</v>
      </c>
      <c r="K45" s="20" t="n">
        <f aca="false">IF(K$5="",0,SUMPRODUCT((Plantillas!$A$2:$A$114=K$5)*(Plantillas!$D$2:$D$114=$A45)*(Plantillas!$G$2:$G$114*N(K$6)+Plantillas!$H$2:$H$114)))</f>
        <v>0</v>
      </c>
      <c r="L45" s="20" t="n">
        <f aca="false">IF(L$5="",0,SUMPRODUCT((Plantillas!$A$2:$A$114=L$5)*(Plantillas!$D$2:$D$114=$A45)*(Plantillas!$G$2:$G$114*N(L$6)+Plantillas!$H$2:$H$114)))</f>
        <v>0</v>
      </c>
      <c r="M45" s="20" t="n">
        <f aca="false">IF(M$5="",0,SUMPRODUCT((Plantillas!$A$2:$A$114=M$5)*(Plantillas!$D$2:$D$114=$A45)*(Plantillas!$G$2:$G$114*N(M$6)+Plantillas!$H$2:$H$114)))</f>
        <v>0</v>
      </c>
      <c r="N45" s="20" t="n">
        <f aca="false">IF(N$5="",0,SUMPRODUCT((Plantillas!$A$2:$A$114=N$5)*(Plantillas!$D$2:$D$114=$A45)*(Plantillas!$G$2:$G$114*N(N$6)+Plantillas!$H$2:$H$114)))</f>
        <v>0</v>
      </c>
      <c r="O45" s="20" t="n">
        <f aca="false">IF(O$5="",0,SUMPRODUCT((Plantillas!$A$2:$A$114=O$5)*(Plantillas!$D$2:$D$114=$A45)*(Plantillas!$G$2:$G$114*N(O$6)+Plantillas!$H$2:$H$114)))</f>
        <v>0</v>
      </c>
      <c r="P45" s="20" t="n">
        <f aca="false">IF(P$5="",0,SUMPRODUCT((Plantillas!$A$2:$A$114=P$5)*(Plantillas!$D$2:$D$114=$A45)*(Plantillas!$G$2:$G$114*N(P$6)+Plantillas!$H$2:$H$114)))</f>
        <v>0</v>
      </c>
      <c r="Q45" s="20" t="n">
        <f aca="false">IF(Q$5="",0,SUMPRODUCT((Plantillas!$A$2:$A$114=Q$5)*(Plantillas!$D$2:$D$114=$A45)*(Plantillas!$G$2:$G$114*N(Q$6)+Plantillas!$H$2:$H$114)))</f>
        <v>0</v>
      </c>
      <c r="R45" s="20" t="n">
        <f aca="false">IF(R$5="",0,SUMPRODUCT((Plantillas!$A$2:$A$114=R$5)*(Plantillas!$D$2:$D$114=$A45)*(Plantillas!$G$2:$G$114*N(R$6)+Plantillas!$H$2:$H$114)))</f>
        <v>0</v>
      </c>
      <c r="S45" s="20" t="n">
        <f aca="false">SUM(E45:R45)</f>
        <v>0</v>
      </c>
      <c r="T45" s="21" t="n">
        <f aca="false">IF(INDEX(Partidas!$F$2:$F$99,MATCH(A45,Partidas!$A$2:$A$99,0))="","",INDEX(Partidas!$F$2:$F$99,MATCH(A45,Partidas!$A$2:$A$99,0)))</f>
        <v>80</v>
      </c>
      <c r="U45" s="22" t="n">
        <f aca="false">IF(T45="",0,S45*T45)</f>
        <v>0</v>
      </c>
    </row>
    <row r="46" customFormat="false" ht="15" hidden="false" customHeight="false" outlineLevel="0" collapsed="false">
      <c r="A46" s="0" t="s">
        <v>205</v>
      </c>
      <c r="B46" s="0" t="s">
        <v>46</v>
      </c>
      <c r="C46" s="9" t="str">
        <f aca="false">INDEX(Partidas!$D$2:$D$99,MATCH(A46,Partidas!$A$2:$A$99,0))</f>
        <v>Viga decorativa imitación madera</v>
      </c>
      <c r="D46" s="9" t="str">
        <f aca="false">INDEX(Partidas!$C$2:$C$99,MATCH(A46,Partidas!$A$2:$A$99,0))</f>
        <v>m</v>
      </c>
      <c r="E46" s="20" t="n">
        <f aca="false">IF(E$5="",0,SUMPRODUCT((Plantillas!$A$2:$A$114=E$5)*(Plantillas!$D$2:$D$114=$A46)*(Plantillas!$G$2:$G$114*N(E$6)+Plantillas!$H$2:$H$114)))</f>
        <v>0</v>
      </c>
      <c r="F46" s="20" t="n">
        <f aca="false">IF(F$5="",0,SUMPRODUCT((Plantillas!$A$2:$A$114=F$5)*(Plantillas!$D$2:$D$114=$A46)*(Plantillas!$G$2:$G$114*N(F$6)+Plantillas!$H$2:$H$114)))</f>
        <v>0</v>
      </c>
      <c r="G46" s="20" t="n">
        <f aca="false">IF(G$5="",0,SUMPRODUCT((Plantillas!$A$2:$A$114=G$5)*(Plantillas!$D$2:$D$114=$A46)*(Plantillas!$G$2:$G$114*N(G$6)+Plantillas!$H$2:$H$114)))</f>
        <v>0</v>
      </c>
      <c r="H46" s="20" t="n">
        <f aca="false">IF(H$5="",0,SUMPRODUCT((Plantillas!$A$2:$A$114=H$5)*(Plantillas!$D$2:$D$114=$A46)*(Plantillas!$G$2:$G$114*N(H$6)+Plantillas!$H$2:$H$114)))</f>
        <v>0</v>
      </c>
      <c r="I46" s="20" t="n">
        <f aca="false">IF(I$5="",0,SUMPRODUCT((Plantillas!$A$2:$A$114=I$5)*(Plantillas!$D$2:$D$114=$A46)*(Plantillas!$G$2:$G$114*N(I$6)+Plantillas!$H$2:$H$114)))</f>
        <v>0</v>
      </c>
      <c r="J46" s="20" t="n">
        <f aca="false">IF(J$5="",0,SUMPRODUCT((Plantillas!$A$2:$A$114=J$5)*(Plantillas!$D$2:$D$114=$A46)*(Plantillas!$G$2:$G$114*N(J$6)+Plantillas!$H$2:$H$114)))</f>
        <v>0</v>
      </c>
      <c r="K46" s="20" t="n">
        <f aca="false">IF(K$5="",0,SUMPRODUCT((Plantillas!$A$2:$A$114=K$5)*(Plantillas!$D$2:$D$114=$A46)*(Plantillas!$G$2:$G$114*N(K$6)+Plantillas!$H$2:$H$114)))</f>
        <v>0</v>
      </c>
      <c r="L46" s="20" t="n">
        <f aca="false">IF(L$5="",0,SUMPRODUCT((Plantillas!$A$2:$A$114=L$5)*(Plantillas!$D$2:$D$114=$A46)*(Plantillas!$G$2:$G$114*N(L$6)+Plantillas!$H$2:$H$114)))</f>
        <v>0</v>
      </c>
      <c r="M46" s="20" t="n">
        <f aca="false">IF(M$5="",0,SUMPRODUCT((Plantillas!$A$2:$A$114=M$5)*(Plantillas!$D$2:$D$114=$A46)*(Plantillas!$G$2:$G$114*N(M$6)+Plantillas!$H$2:$H$114)))</f>
        <v>0</v>
      </c>
      <c r="N46" s="20" t="n">
        <f aca="false">IF(N$5="",0,SUMPRODUCT((Plantillas!$A$2:$A$114=N$5)*(Plantillas!$D$2:$D$114=$A46)*(Plantillas!$G$2:$G$114*N(N$6)+Plantillas!$H$2:$H$114)))</f>
        <v>0</v>
      </c>
      <c r="O46" s="20" t="n">
        <f aca="false">IF(O$5="",0,SUMPRODUCT((Plantillas!$A$2:$A$114=O$5)*(Plantillas!$D$2:$D$114=$A46)*(Plantillas!$G$2:$G$114*N(O$6)+Plantillas!$H$2:$H$114)))</f>
        <v>0</v>
      </c>
      <c r="P46" s="20" t="n">
        <f aca="false">IF(P$5="",0,SUMPRODUCT((Plantillas!$A$2:$A$114=P$5)*(Plantillas!$D$2:$D$114=$A46)*(Plantillas!$G$2:$G$114*N(P$6)+Plantillas!$H$2:$H$114)))</f>
        <v>0</v>
      </c>
      <c r="Q46" s="20" t="n">
        <f aca="false">IF(Q$5="",0,SUMPRODUCT((Plantillas!$A$2:$A$114=Q$5)*(Plantillas!$D$2:$D$114=$A46)*(Plantillas!$G$2:$G$114*N(Q$6)+Plantillas!$H$2:$H$114)))</f>
        <v>0</v>
      </c>
      <c r="R46" s="20" t="n">
        <f aca="false">IF(R$5="",0,SUMPRODUCT((Plantillas!$A$2:$A$114=R$5)*(Plantillas!$D$2:$D$114=$A46)*(Plantillas!$G$2:$G$114*N(R$6)+Plantillas!$H$2:$H$114)))</f>
        <v>0</v>
      </c>
      <c r="S46" s="20" t="n">
        <f aca="false">SUM(E46:R46)</f>
        <v>0</v>
      </c>
      <c r="T46" s="21" t="n">
        <f aca="false">IF(INDEX(Partidas!$F$2:$F$99,MATCH(A46,Partidas!$A$2:$A$99,0))="","",INDEX(Partidas!$F$2:$F$99,MATCH(A46,Partidas!$A$2:$A$99,0)))</f>
        <v>95</v>
      </c>
      <c r="U46" s="22" t="n">
        <f aca="false">IF(T46="",0,S46*T46)</f>
        <v>0</v>
      </c>
    </row>
    <row r="47" customFormat="false" ht="15" hidden="false" customHeight="false" outlineLevel="0" collapsed="false">
      <c r="A47" s="17" t="s">
        <v>48</v>
      </c>
      <c r="B47" s="18"/>
      <c r="C47" s="17" t="s">
        <v>49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9" t="n">
        <f aca="false">SUM(U48:U53)</f>
        <v>8591.625</v>
      </c>
    </row>
    <row r="48" customFormat="false" ht="15" hidden="false" customHeight="false" outlineLevel="0" collapsed="false">
      <c r="A48" s="0" t="s">
        <v>209</v>
      </c>
      <c r="B48" s="0" t="s">
        <v>48</v>
      </c>
      <c r="C48" s="9" t="str">
        <f aca="false">INDEX(Partidas!$D$2:$D$99,MATCH(A48,Partidas!$A$2:$A$99,0))</f>
        <v>Recrecido de mortero autonivelante</v>
      </c>
      <c r="D48" s="9" t="str">
        <f aca="false">INDEX(Partidas!$C$2:$C$99,MATCH(A48,Partidas!$A$2:$A$99,0))</f>
        <v>m2</v>
      </c>
      <c r="E48" s="20" t="n">
        <f aca="false">IF(E$5="",0,SUMPRODUCT((Plantillas!$A$2:$A$114=E$5)*(Plantillas!$D$2:$D$114=$A48)*(Plantillas!$G$2:$G$114*N(E$6)+Plantillas!$H$2:$H$114)))</f>
        <v>0</v>
      </c>
      <c r="F48" s="20" t="n">
        <f aca="false">IF(F$5="",0,SUMPRODUCT((Plantillas!$A$2:$A$114=F$5)*(Plantillas!$D$2:$D$114=$A48)*(Plantillas!$G$2:$G$114*N(F$6)+Plantillas!$H$2:$H$114)))</f>
        <v>0</v>
      </c>
      <c r="G48" s="20" t="n">
        <f aca="false">IF(G$5="",0,SUMPRODUCT((Plantillas!$A$2:$A$114=G$5)*(Plantillas!$D$2:$D$114=$A48)*(Plantillas!$G$2:$G$114*N(G$6)+Plantillas!$H$2:$H$114)))</f>
        <v>0</v>
      </c>
      <c r="H48" s="20" t="n">
        <f aca="false">IF(H$5="",0,SUMPRODUCT((Plantillas!$A$2:$A$114=H$5)*(Plantillas!$D$2:$D$114=$A48)*(Plantillas!$G$2:$G$114*N(H$6)+Plantillas!$H$2:$H$114)))</f>
        <v>0</v>
      </c>
      <c r="I48" s="20" t="n">
        <f aca="false">IF(I$5="",0,SUMPRODUCT((Plantillas!$A$2:$A$114=I$5)*(Plantillas!$D$2:$D$114=$A48)*(Plantillas!$G$2:$G$114*N(I$6)+Plantillas!$H$2:$H$114)))</f>
        <v>0</v>
      </c>
      <c r="J48" s="20" t="n">
        <f aca="false">IF(J$5="",0,SUMPRODUCT((Plantillas!$A$2:$A$114=J$5)*(Plantillas!$D$2:$D$114=$A48)*(Plantillas!$G$2:$G$114*N(J$6)+Plantillas!$H$2:$H$114)))</f>
        <v>0</v>
      </c>
      <c r="K48" s="20" t="n">
        <f aca="false">IF(K$5="",0,SUMPRODUCT((Plantillas!$A$2:$A$114=K$5)*(Plantillas!$D$2:$D$114=$A48)*(Plantillas!$G$2:$G$114*N(K$6)+Plantillas!$H$2:$H$114)))</f>
        <v>0</v>
      </c>
      <c r="L48" s="20" t="n">
        <f aca="false">IF(L$5="",0,SUMPRODUCT((Plantillas!$A$2:$A$114=L$5)*(Plantillas!$D$2:$D$114=$A48)*(Plantillas!$G$2:$G$114*N(L$6)+Plantillas!$H$2:$H$114)))</f>
        <v>0</v>
      </c>
      <c r="M48" s="20" t="n">
        <f aca="false">IF(M$5="",0,SUMPRODUCT((Plantillas!$A$2:$A$114=M$5)*(Plantillas!$D$2:$D$114=$A48)*(Plantillas!$G$2:$G$114*N(M$6)+Plantillas!$H$2:$H$114)))</f>
        <v>0</v>
      </c>
      <c r="N48" s="20" t="n">
        <f aca="false">IF(N$5="",0,SUMPRODUCT((Plantillas!$A$2:$A$114=N$5)*(Plantillas!$D$2:$D$114=$A48)*(Plantillas!$G$2:$G$114*N(N$6)+Plantillas!$H$2:$H$114)))</f>
        <v>0</v>
      </c>
      <c r="O48" s="20" t="n">
        <f aca="false">IF(O$5="",0,SUMPRODUCT((Plantillas!$A$2:$A$114=O$5)*(Plantillas!$D$2:$D$114=$A48)*(Plantillas!$G$2:$G$114*N(O$6)+Plantillas!$H$2:$H$114)))</f>
        <v>0</v>
      </c>
      <c r="P48" s="20" t="n">
        <f aca="false">IF(P$5="",0,SUMPRODUCT((Plantillas!$A$2:$A$114=P$5)*(Plantillas!$D$2:$D$114=$A48)*(Plantillas!$G$2:$G$114*N(P$6)+Plantillas!$H$2:$H$114)))</f>
        <v>0</v>
      </c>
      <c r="Q48" s="20" t="n">
        <f aca="false">IF(Q$5="",0,SUMPRODUCT((Plantillas!$A$2:$A$114=Q$5)*(Plantillas!$D$2:$D$114=$A48)*(Plantillas!$G$2:$G$114*N(Q$6)+Plantillas!$H$2:$H$114)))</f>
        <v>0</v>
      </c>
      <c r="R48" s="20" t="n">
        <f aca="false">IF(R$5="",0,SUMPRODUCT((Plantillas!$A$2:$A$114=R$5)*(Plantillas!$D$2:$D$114=$A48)*(Plantillas!$G$2:$G$114*N(R$6)+Plantillas!$H$2:$H$114)))</f>
        <v>0</v>
      </c>
      <c r="S48" s="20" t="n">
        <f aca="false">SUM(E48:R48)</f>
        <v>0</v>
      </c>
      <c r="T48" s="21" t="n">
        <f aca="false">IF(INDEX(Partidas!$F$2:$F$99,MATCH(A48,Partidas!$A$2:$A$99,0))="","",INDEX(Partidas!$F$2:$F$99,MATCH(A48,Partidas!$A$2:$A$99,0)))</f>
        <v>30</v>
      </c>
      <c r="U48" s="22" t="n">
        <f aca="false">IF(T48="",0,S48*T48)</f>
        <v>0</v>
      </c>
    </row>
    <row r="49" customFormat="false" ht="15" hidden="false" customHeight="false" outlineLevel="0" collapsed="false">
      <c r="A49" s="0" t="s">
        <v>213</v>
      </c>
      <c r="B49" s="0" t="s">
        <v>48</v>
      </c>
      <c r="C49" s="9" t="str">
        <f aca="false">INDEX(Partidas!$D$2:$D$99,MATCH(A49,Partidas!$A$2:$A$99,0))</f>
        <v>Solado de gres porcelánico</v>
      </c>
      <c r="D49" s="9" t="str">
        <f aca="false">INDEX(Partidas!$C$2:$C$99,MATCH(A49,Partidas!$A$2:$A$99,0))</f>
        <v>m2</v>
      </c>
      <c r="E49" s="20" t="n">
        <f aca="false">IF(E$5="",0,SUMPRODUCT((Plantillas!$A$2:$A$114=E$5)*(Plantillas!$D$2:$D$114=$A49)*(Plantillas!$G$2:$G$114*N(E$6)+Plantillas!$H$2:$H$114)))</f>
        <v>0</v>
      </c>
      <c r="F49" s="20" t="n">
        <f aca="false">IF(F$5="",0,SUMPRODUCT((Plantillas!$A$2:$A$114=F$5)*(Plantillas!$D$2:$D$114=$A49)*(Plantillas!$G$2:$G$114*N(F$6)+Plantillas!$H$2:$H$114)))</f>
        <v>0</v>
      </c>
      <c r="G49" s="20" t="n">
        <f aca="false">IF(G$5="",0,SUMPRODUCT((Plantillas!$A$2:$A$114=G$5)*(Plantillas!$D$2:$D$114=$A49)*(Plantillas!$G$2:$G$114*N(G$6)+Plantillas!$H$2:$H$114)))</f>
        <v>0</v>
      </c>
      <c r="H49" s="20" t="n">
        <f aca="false">IF(H$5="",0,SUMPRODUCT((Plantillas!$A$2:$A$114=H$5)*(Plantillas!$D$2:$D$114=$A49)*(Plantillas!$G$2:$G$114*N(H$6)+Plantillas!$H$2:$H$114)))</f>
        <v>0</v>
      </c>
      <c r="I49" s="20" t="n">
        <f aca="false">IF(I$5="",0,SUMPRODUCT((Plantillas!$A$2:$A$114=I$5)*(Plantillas!$D$2:$D$114=$A49)*(Plantillas!$G$2:$G$114*N(I$6)+Plantillas!$H$2:$H$114)))</f>
        <v>0</v>
      </c>
      <c r="J49" s="20" t="n">
        <f aca="false">IF(J$5="",0,SUMPRODUCT((Plantillas!$A$2:$A$114=J$5)*(Plantillas!$D$2:$D$114=$A49)*(Plantillas!$G$2:$G$114*N(J$6)+Plantillas!$H$2:$H$114)))</f>
        <v>0</v>
      </c>
      <c r="K49" s="20" t="n">
        <f aca="false">IF(K$5="",0,SUMPRODUCT((Plantillas!$A$2:$A$114=K$5)*(Plantillas!$D$2:$D$114=$A49)*(Plantillas!$G$2:$G$114*N(K$6)+Plantillas!$H$2:$H$114)))</f>
        <v>0</v>
      </c>
      <c r="L49" s="20" t="n">
        <f aca="false">IF(L$5="",0,SUMPRODUCT((Plantillas!$A$2:$A$114=L$5)*(Plantillas!$D$2:$D$114=$A49)*(Plantillas!$G$2:$G$114*N(L$6)+Plantillas!$H$2:$H$114)))</f>
        <v>9</v>
      </c>
      <c r="M49" s="20" t="n">
        <f aca="false">IF(M$5="",0,SUMPRODUCT((Plantillas!$A$2:$A$114=M$5)*(Plantillas!$D$2:$D$114=$A49)*(Plantillas!$G$2:$G$114*N(M$6)+Plantillas!$H$2:$H$114)))</f>
        <v>3</v>
      </c>
      <c r="N49" s="20" t="n">
        <f aca="false">IF(N$5="",0,SUMPRODUCT((Plantillas!$A$2:$A$114=N$5)*(Plantillas!$D$2:$D$114=$A49)*(Plantillas!$G$2:$G$114*N(N$6)+Plantillas!$H$2:$H$114)))</f>
        <v>5</v>
      </c>
      <c r="O49" s="20" t="n">
        <f aca="false">IF(O$5="",0,SUMPRODUCT((Plantillas!$A$2:$A$114=O$5)*(Plantillas!$D$2:$D$114=$A49)*(Plantillas!$G$2:$G$114*N(O$6)+Plantillas!$H$2:$H$114)))</f>
        <v>4</v>
      </c>
      <c r="P49" s="20" t="n">
        <f aca="false">IF(P$5="",0,SUMPRODUCT((Plantillas!$A$2:$A$114=P$5)*(Plantillas!$D$2:$D$114=$A49)*(Plantillas!$G$2:$G$114*N(P$6)+Plantillas!$H$2:$H$114)))</f>
        <v>0</v>
      </c>
      <c r="Q49" s="20" t="n">
        <f aca="false">IF(Q$5="",0,SUMPRODUCT((Plantillas!$A$2:$A$114=Q$5)*(Plantillas!$D$2:$D$114=$A49)*(Plantillas!$G$2:$G$114*N(Q$6)+Plantillas!$H$2:$H$114)))</f>
        <v>0</v>
      </c>
      <c r="R49" s="20" t="n">
        <f aca="false">IF(R$5="",0,SUMPRODUCT((Plantillas!$A$2:$A$114=R$5)*(Plantillas!$D$2:$D$114=$A49)*(Plantillas!$G$2:$G$114*N(R$6)+Plantillas!$H$2:$H$114)))</f>
        <v>0</v>
      </c>
      <c r="S49" s="20" t="n">
        <f aca="false">SUM(E49:R49)</f>
        <v>21</v>
      </c>
      <c r="T49" s="21" t="n">
        <f aca="false">IF(INDEX(Partidas!$F$2:$F$99,MATCH(A49,Partidas!$A$2:$A$99,0))="","",INDEX(Partidas!$F$2:$F$99,MATCH(A49,Partidas!$A$2:$A$99,0)))</f>
        <v>86</v>
      </c>
      <c r="U49" s="22" t="n">
        <f aca="false">IF(T49="",0,S49*T49)</f>
        <v>1806</v>
      </c>
    </row>
    <row r="50" customFormat="false" ht="15" hidden="false" customHeight="false" outlineLevel="0" collapsed="false">
      <c r="A50" s="0" t="s">
        <v>217</v>
      </c>
      <c r="B50" s="0" t="s">
        <v>48</v>
      </c>
      <c r="C50" s="9" t="str">
        <f aca="false">INDEX(Partidas!$D$2:$D$99,MATCH(A50,Partidas!$A$2:$A$99,0))</f>
        <v>Suelo laminado flotante</v>
      </c>
      <c r="D50" s="9" t="str">
        <f aca="false">INDEX(Partidas!$C$2:$C$99,MATCH(A50,Partidas!$A$2:$A$99,0))</f>
        <v>m2</v>
      </c>
      <c r="E50" s="20" t="n">
        <f aca="false">IF(E$5="",0,SUMPRODUCT((Plantillas!$A$2:$A$114=E$5)*(Plantillas!$D$2:$D$114=$A50)*(Plantillas!$G$2:$G$114*N(E$6)+Plantillas!$H$2:$H$114)))</f>
        <v>0</v>
      </c>
      <c r="F50" s="20" t="n">
        <f aca="false">IF(F$5="",0,SUMPRODUCT((Plantillas!$A$2:$A$114=F$5)*(Plantillas!$D$2:$D$114=$A50)*(Plantillas!$G$2:$G$114*N(F$6)+Plantillas!$H$2:$H$114)))</f>
        <v>24</v>
      </c>
      <c r="G50" s="20" t="n">
        <f aca="false">IF(G$5="",0,SUMPRODUCT((Plantillas!$A$2:$A$114=G$5)*(Plantillas!$D$2:$D$114=$A50)*(Plantillas!$G$2:$G$114*N(G$6)+Plantillas!$H$2:$H$114)))</f>
        <v>15</v>
      </c>
      <c r="H50" s="20" t="n">
        <f aca="false">IF(H$5="",0,SUMPRODUCT((Plantillas!$A$2:$A$114=H$5)*(Plantillas!$D$2:$D$114=$A50)*(Plantillas!$G$2:$G$114*N(H$6)+Plantillas!$H$2:$H$114)))</f>
        <v>10</v>
      </c>
      <c r="I50" s="20" t="n">
        <f aca="false">IF(I$5="",0,SUMPRODUCT((Plantillas!$A$2:$A$114=I$5)*(Plantillas!$D$2:$D$114=$A50)*(Plantillas!$G$2:$G$114*N(I$6)+Plantillas!$H$2:$H$114)))</f>
        <v>10</v>
      </c>
      <c r="J50" s="20" t="n">
        <f aca="false">IF(J$5="",0,SUMPRODUCT((Plantillas!$A$2:$A$114=J$5)*(Plantillas!$D$2:$D$114=$A50)*(Plantillas!$G$2:$G$114*N(J$6)+Plantillas!$H$2:$H$114)))</f>
        <v>7</v>
      </c>
      <c r="K50" s="20" t="n">
        <f aca="false">IF(K$5="",0,SUMPRODUCT((Plantillas!$A$2:$A$114=K$5)*(Plantillas!$D$2:$D$114=$A50)*(Plantillas!$G$2:$G$114*N(K$6)+Plantillas!$H$2:$H$114)))</f>
        <v>4</v>
      </c>
      <c r="L50" s="20" t="n">
        <f aca="false">IF(L$5="",0,SUMPRODUCT((Plantillas!$A$2:$A$114=L$5)*(Plantillas!$D$2:$D$114=$A50)*(Plantillas!$G$2:$G$114*N(L$6)+Plantillas!$H$2:$H$114)))</f>
        <v>0</v>
      </c>
      <c r="M50" s="20" t="n">
        <f aca="false">IF(M$5="",0,SUMPRODUCT((Plantillas!$A$2:$A$114=M$5)*(Plantillas!$D$2:$D$114=$A50)*(Plantillas!$G$2:$G$114*N(M$6)+Plantillas!$H$2:$H$114)))</f>
        <v>0</v>
      </c>
      <c r="N50" s="20" t="n">
        <f aca="false">IF(N$5="",0,SUMPRODUCT((Plantillas!$A$2:$A$114=N$5)*(Plantillas!$D$2:$D$114=$A50)*(Plantillas!$G$2:$G$114*N(N$6)+Plantillas!$H$2:$H$114)))</f>
        <v>0</v>
      </c>
      <c r="O50" s="20" t="n">
        <f aca="false">IF(O$5="",0,SUMPRODUCT((Plantillas!$A$2:$A$114=O$5)*(Plantillas!$D$2:$D$114=$A50)*(Plantillas!$G$2:$G$114*N(O$6)+Plantillas!$H$2:$H$114)))</f>
        <v>0</v>
      </c>
      <c r="P50" s="20" t="n">
        <f aca="false">IF(P$5="",0,SUMPRODUCT((Plantillas!$A$2:$A$114=P$5)*(Plantillas!$D$2:$D$114=$A50)*(Plantillas!$G$2:$G$114*N(P$6)+Plantillas!$H$2:$H$114)))</f>
        <v>0</v>
      </c>
      <c r="Q50" s="20" t="n">
        <f aca="false">IF(Q$5="",0,SUMPRODUCT((Plantillas!$A$2:$A$114=Q$5)*(Plantillas!$D$2:$D$114=$A50)*(Plantillas!$G$2:$G$114*N(Q$6)+Plantillas!$H$2:$H$114)))</f>
        <v>0</v>
      </c>
      <c r="R50" s="20" t="n">
        <f aca="false">IF(R$5="",0,SUMPRODUCT((Plantillas!$A$2:$A$114=R$5)*(Plantillas!$D$2:$D$114=$A50)*(Plantillas!$G$2:$G$114*N(R$6)+Plantillas!$H$2:$H$114)))</f>
        <v>0</v>
      </c>
      <c r="S50" s="20" t="n">
        <f aca="false">SUM(E50:R50)</f>
        <v>70</v>
      </c>
      <c r="T50" s="21" t="n">
        <f aca="false">IF(INDEX(Partidas!$F$2:$F$99,MATCH(A50,Partidas!$A$2:$A$99,0))="","",INDEX(Partidas!$F$2:$F$99,MATCH(A50,Partidas!$A$2:$A$99,0)))</f>
        <v>78</v>
      </c>
      <c r="U50" s="22" t="n">
        <f aca="false">IF(T50="",0,S50*T50)</f>
        <v>5460</v>
      </c>
    </row>
    <row r="51" customFormat="false" ht="15" hidden="false" customHeight="false" outlineLevel="0" collapsed="false">
      <c r="A51" s="0" t="s">
        <v>221</v>
      </c>
      <c r="B51" s="0" t="s">
        <v>48</v>
      </c>
      <c r="C51" s="9" t="str">
        <f aca="false">INDEX(Partidas!$D$2:$D$99,MATCH(A51,Partidas!$A$2:$A$99,0))</f>
        <v>Tarima de madera natural</v>
      </c>
      <c r="D51" s="9" t="str">
        <f aca="false">INDEX(Partidas!$C$2:$C$99,MATCH(A51,Partidas!$A$2:$A$99,0))</f>
        <v>m2</v>
      </c>
      <c r="E51" s="20" t="n">
        <f aca="false">IF(E$5="",0,SUMPRODUCT((Plantillas!$A$2:$A$114=E$5)*(Plantillas!$D$2:$D$114=$A51)*(Plantillas!$G$2:$G$114*N(E$6)+Plantillas!$H$2:$H$114)))</f>
        <v>0</v>
      </c>
      <c r="F51" s="20" t="n">
        <f aca="false">IF(F$5="",0,SUMPRODUCT((Plantillas!$A$2:$A$114=F$5)*(Plantillas!$D$2:$D$114=$A51)*(Plantillas!$G$2:$G$114*N(F$6)+Plantillas!$H$2:$H$114)))</f>
        <v>0</v>
      </c>
      <c r="G51" s="20" t="n">
        <f aca="false">IF(G$5="",0,SUMPRODUCT((Plantillas!$A$2:$A$114=G$5)*(Plantillas!$D$2:$D$114=$A51)*(Plantillas!$G$2:$G$114*N(G$6)+Plantillas!$H$2:$H$114)))</f>
        <v>0</v>
      </c>
      <c r="H51" s="20" t="n">
        <f aca="false">IF(H$5="",0,SUMPRODUCT((Plantillas!$A$2:$A$114=H$5)*(Plantillas!$D$2:$D$114=$A51)*(Plantillas!$G$2:$G$114*N(H$6)+Plantillas!$H$2:$H$114)))</f>
        <v>0</v>
      </c>
      <c r="I51" s="20" t="n">
        <f aca="false">IF(I$5="",0,SUMPRODUCT((Plantillas!$A$2:$A$114=I$5)*(Plantillas!$D$2:$D$114=$A51)*(Plantillas!$G$2:$G$114*N(I$6)+Plantillas!$H$2:$H$114)))</f>
        <v>0</v>
      </c>
      <c r="J51" s="20" t="n">
        <f aca="false">IF(J$5="",0,SUMPRODUCT((Plantillas!$A$2:$A$114=J$5)*(Plantillas!$D$2:$D$114=$A51)*(Plantillas!$G$2:$G$114*N(J$6)+Plantillas!$H$2:$H$114)))</f>
        <v>0</v>
      </c>
      <c r="K51" s="20" t="n">
        <f aca="false">IF(K$5="",0,SUMPRODUCT((Plantillas!$A$2:$A$114=K$5)*(Plantillas!$D$2:$D$114=$A51)*(Plantillas!$G$2:$G$114*N(K$6)+Plantillas!$H$2:$H$114)))</f>
        <v>0</v>
      </c>
      <c r="L51" s="20" t="n">
        <f aca="false">IF(L$5="",0,SUMPRODUCT((Plantillas!$A$2:$A$114=L$5)*(Plantillas!$D$2:$D$114=$A51)*(Plantillas!$G$2:$G$114*N(L$6)+Plantillas!$H$2:$H$114)))</f>
        <v>0</v>
      </c>
      <c r="M51" s="20" t="n">
        <f aca="false">IF(M$5="",0,SUMPRODUCT((Plantillas!$A$2:$A$114=M$5)*(Plantillas!$D$2:$D$114=$A51)*(Plantillas!$G$2:$G$114*N(M$6)+Plantillas!$H$2:$H$114)))</f>
        <v>0</v>
      </c>
      <c r="N51" s="20" t="n">
        <f aca="false">IF(N$5="",0,SUMPRODUCT((Plantillas!$A$2:$A$114=N$5)*(Plantillas!$D$2:$D$114=$A51)*(Plantillas!$G$2:$G$114*N(N$6)+Plantillas!$H$2:$H$114)))</f>
        <v>0</v>
      </c>
      <c r="O51" s="20" t="n">
        <f aca="false">IF(O$5="",0,SUMPRODUCT((Plantillas!$A$2:$A$114=O$5)*(Plantillas!$D$2:$D$114=$A51)*(Plantillas!$G$2:$G$114*N(O$6)+Plantillas!$H$2:$H$114)))</f>
        <v>0</v>
      </c>
      <c r="P51" s="20" t="n">
        <f aca="false">IF(P$5="",0,SUMPRODUCT((Plantillas!$A$2:$A$114=P$5)*(Plantillas!$D$2:$D$114=$A51)*(Plantillas!$G$2:$G$114*N(P$6)+Plantillas!$H$2:$H$114)))</f>
        <v>0</v>
      </c>
      <c r="Q51" s="20" t="n">
        <f aca="false">IF(Q$5="",0,SUMPRODUCT((Plantillas!$A$2:$A$114=Q$5)*(Plantillas!$D$2:$D$114=$A51)*(Plantillas!$G$2:$G$114*N(Q$6)+Plantillas!$H$2:$H$114)))</f>
        <v>0</v>
      </c>
      <c r="R51" s="20" t="n">
        <f aca="false">IF(R$5="",0,SUMPRODUCT((Plantillas!$A$2:$A$114=R$5)*(Plantillas!$D$2:$D$114=$A51)*(Plantillas!$G$2:$G$114*N(R$6)+Plantillas!$H$2:$H$114)))</f>
        <v>0</v>
      </c>
      <c r="S51" s="20" t="n">
        <f aca="false">SUM(E51:R51)</f>
        <v>0</v>
      </c>
      <c r="T51" s="21" t="n">
        <f aca="false">IF(INDEX(Partidas!$F$2:$F$99,MATCH(A51,Partidas!$A$2:$A$99,0))="","",INDEX(Partidas!$F$2:$F$99,MATCH(A51,Partidas!$A$2:$A$99,0)))</f>
        <v>120</v>
      </c>
      <c r="U51" s="22" t="n">
        <f aca="false">IF(T51="",0,S51*T51)</f>
        <v>0</v>
      </c>
    </row>
    <row r="52" customFormat="false" ht="15" hidden="false" customHeight="false" outlineLevel="0" collapsed="false">
      <c r="A52" s="0" t="s">
        <v>225</v>
      </c>
      <c r="B52" s="0" t="s">
        <v>48</v>
      </c>
      <c r="C52" s="9" t="str">
        <f aca="false">INDEX(Partidas!$D$2:$D$99,MATCH(A52,Partidas!$A$2:$A$99,0))</f>
        <v>Suelo vinílico SPC</v>
      </c>
      <c r="D52" s="9" t="str">
        <f aca="false">INDEX(Partidas!$C$2:$C$99,MATCH(A52,Partidas!$A$2:$A$99,0))</f>
        <v>m2</v>
      </c>
      <c r="E52" s="20" t="n">
        <f aca="false">IF(E$5="",0,SUMPRODUCT((Plantillas!$A$2:$A$114=E$5)*(Plantillas!$D$2:$D$114=$A52)*(Plantillas!$G$2:$G$114*N(E$6)+Plantillas!$H$2:$H$114)))</f>
        <v>0</v>
      </c>
      <c r="F52" s="20" t="n">
        <f aca="false">IF(F$5="",0,SUMPRODUCT((Plantillas!$A$2:$A$114=F$5)*(Plantillas!$D$2:$D$114=$A52)*(Plantillas!$G$2:$G$114*N(F$6)+Plantillas!$H$2:$H$114)))</f>
        <v>0</v>
      </c>
      <c r="G52" s="20" t="n">
        <f aca="false">IF(G$5="",0,SUMPRODUCT((Plantillas!$A$2:$A$114=G$5)*(Plantillas!$D$2:$D$114=$A52)*(Plantillas!$G$2:$G$114*N(G$6)+Plantillas!$H$2:$H$114)))</f>
        <v>0</v>
      </c>
      <c r="H52" s="20" t="n">
        <f aca="false">IF(H$5="",0,SUMPRODUCT((Plantillas!$A$2:$A$114=H$5)*(Plantillas!$D$2:$D$114=$A52)*(Plantillas!$G$2:$G$114*N(H$6)+Plantillas!$H$2:$H$114)))</f>
        <v>0</v>
      </c>
      <c r="I52" s="20" t="n">
        <f aca="false">IF(I$5="",0,SUMPRODUCT((Plantillas!$A$2:$A$114=I$5)*(Plantillas!$D$2:$D$114=$A52)*(Plantillas!$G$2:$G$114*N(I$6)+Plantillas!$H$2:$H$114)))</f>
        <v>0</v>
      </c>
      <c r="J52" s="20" t="n">
        <f aca="false">IF(J$5="",0,SUMPRODUCT((Plantillas!$A$2:$A$114=J$5)*(Plantillas!$D$2:$D$114=$A52)*(Plantillas!$G$2:$G$114*N(J$6)+Plantillas!$H$2:$H$114)))</f>
        <v>0</v>
      </c>
      <c r="K52" s="20" t="n">
        <f aca="false">IF(K$5="",0,SUMPRODUCT((Plantillas!$A$2:$A$114=K$5)*(Plantillas!$D$2:$D$114=$A52)*(Plantillas!$G$2:$G$114*N(K$6)+Plantillas!$H$2:$H$114)))</f>
        <v>0</v>
      </c>
      <c r="L52" s="20" t="n">
        <f aca="false">IF(L$5="",0,SUMPRODUCT((Plantillas!$A$2:$A$114=L$5)*(Plantillas!$D$2:$D$114=$A52)*(Plantillas!$G$2:$G$114*N(L$6)+Plantillas!$H$2:$H$114)))</f>
        <v>0</v>
      </c>
      <c r="M52" s="20" t="n">
        <f aca="false">IF(M$5="",0,SUMPRODUCT((Plantillas!$A$2:$A$114=M$5)*(Plantillas!$D$2:$D$114=$A52)*(Plantillas!$G$2:$G$114*N(M$6)+Plantillas!$H$2:$H$114)))</f>
        <v>0</v>
      </c>
      <c r="N52" s="20" t="n">
        <f aca="false">IF(N$5="",0,SUMPRODUCT((Plantillas!$A$2:$A$114=N$5)*(Plantillas!$D$2:$D$114=$A52)*(Plantillas!$G$2:$G$114*N(N$6)+Plantillas!$H$2:$H$114)))</f>
        <v>0</v>
      </c>
      <c r="O52" s="20" t="n">
        <f aca="false">IF(O$5="",0,SUMPRODUCT((Plantillas!$A$2:$A$114=O$5)*(Plantillas!$D$2:$D$114=$A52)*(Plantillas!$G$2:$G$114*N(O$6)+Plantillas!$H$2:$H$114)))</f>
        <v>0</v>
      </c>
      <c r="P52" s="20" t="n">
        <f aca="false">IF(P$5="",0,SUMPRODUCT((Plantillas!$A$2:$A$114=P$5)*(Plantillas!$D$2:$D$114=$A52)*(Plantillas!$G$2:$G$114*N(P$6)+Plantillas!$H$2:$H$114)))</f>
        <v>0</v>
      </c>
      <c r="Q52" s="20" t="n">
        <f aca="false">IF(Q$5="",0,SUMPRODUCT((Plantillas!$A$2:$A$114=Q$5)*(Plantillas!$D$2:$D$114=$A52)*(Plantillas!$G$2:$G$114*N(Q$6)+Plantillas!$H$2:$H$114)))</f>
        <v>0</v>
      </c>
      <c r="R52" s="20" t="n">
        <f aca="false">IF(R$5="",0,SUMPRODUCT((Plantillas!$A$2:$A$114=R$5)*(Plantillas!$D$2:$D$114=$A52)*(Plantillas!$G$2:$G$114*N(R$6)+Plantillas!$H$2:$H$114)))</f>
        <v>0</v>
      </c>
      <c r="S52" s="20" t="n">
        <f aca="false">SUM(E52:R52)</f>
        <v>0</v>
      </c>
      <c r="T52" s="21" t="n">
        <f aca="false">IF(INDEX(Partidas!$F$2:$F$99,MATCH(A52,Partidas!$A$2:$A$99,0))="","",INDEX(Partidas!$F$2:$F$99,MATCH(A52,Partidas!$A$2:$A$99,0)))</f>
        <v>54</v>
      </c>
      <c r="U52" s="22" t="n">
        <f aca="false">IF(T52="",0,S52*T52)</f>
        <v>0</v>
      </c>
    </row>
    <row r="53" customFormat="false" ht="15" hidden="false" customHeight="false" outlineLevel="0" collapsed="false">
      <c r="A53" s="0" t="s">
        <v>229</v>
      </c>
      <c r="B53" s="0" t="s">
        <v>48</v>
      </c>
      <c r="C53" s="9" t="str">
        <f aca="false">INDEX(Partidas!$D$2:$D$99,MATCH(A53,Partidas!$A$2:$A$99,0))</f>
        <v>Rodapié lacado blanco 20 cm</v>
      </c>
      <c r="D53" s="9" t="str">
        <f aca="false">INDEX(Partidas!$C$2:$C$99,MATCH(A53,Partidas!$A$2:$A$99,0))</f>
        <v>m</v>
      </c>
      <c r="E53" s="20" t="n">
        <f aca="false">IF(E$5="",0,SUMPRODUCT((Plantillas!$A$2:$A$114=E$5)*(Plantillas!$D$2:$D$114=$A53)*(Plantillas!$G$2:$G$114*N(E$6)+Plantillas!$H$2:$H$114)))</f>
        <v>0</v>
      </c>
      <c r="F53" s="20" t="n">
        <f aca="false">IF(F$5="",0,SUMPRODUCT((Plantillas!$A$2:$A$114=F$5)*(Plantillas!$D$2:$D$114=$A53)*(Plantillas!$G$2:$G$114*N(F$6)+Plantillas!$H$2:$H$114)))</f>
        <v>21.6</v>
      </c>
      <c r="G53" s="20" t="n">
        <f aca="false">IF(G$5="",0,SUMPRODUCT((Plantillas!$A$2:$A$114=G$5)*(Plantillas!$D$2:$D$114=$A53)*(Plantillas!$G$2:$G$114*N(G$6)+Plantillas!$H$2:$H$114)))</f>
        <v>13.5</v>
      </c>
      <c r="H53" s="20" t="n">
        <f aca="false">IF(H$5="",0,SUMPRODUCT((Plantillas!$A$2:$A$114=H$5)*(Plantillas!$D$2:$D$114=$A53)*(Plantillas!$G$2:$G$114*N(H$6)+Plantillas!$H$2:$H$114)))</f>
        <v>9</v>
      </c>
      <c r="I53" s="20" t="n">
        <f aca="false">IF(I$5="",0,SUMPRODUCT((Plantillas!$A$2:$A$114=I$5)*(Plantillas!$D$2:$D$114=$A53)*(Plantillas!$G$2:$G$114*N(I$6)+Plantillas!$H$2:$H$114)))</f>
        <v>9</v>
      </c>
      <c r="J53" s="20" t="n">
        <f aca="false">IF(J$5="",0,SUMPRODUCT((Plantillas!$A$2:$A$114=J$5)*(Plantillas!$D$2:$D$114=$A53)*(Plantillas!$G$2:$G$114*N(J$6)+Plantillas!$H$2:$H$114)))</f>
        <v>11.2</v>
      </c>
      <c r="K53" s="20" t="n">
        <f aca="false">IF(K$5="",0,SUMPRODUCT((Plantillas!$A$2:$A$114=K$5)*(Plantillas!$D$2:$D$114=$A53)*(Plantillas!$G$2:$G$114*N(K$6)+Plantillas!$H$2:$H$114)))</f>
        <v>6.4</v>
      </c>
      <c r="L53" s="20" t="n">
        <f aca="false">IF(L$5="",0,SUMPRODUCT((Plantillas!$A$2:$A$114=L$5)*(Plantillas!$D$2:$D$114=$A53)*(Plantillas!$G$2:$G$114*N(L$6)+Plantillas!$H$2:$H$114)))</f>
        <v>0</v>
      </c>
      <c r="M53" s="20" t="n">
        <f aca="false">IF(M$5="",0,SUMPRODUCT((Plantillas!$A$2:$A$114=M$5)*(Plantillas!$D$2:$D$114=$A53)*(Plantillas!$G$2:$G$114*N(M$6)+Plantillas!$H$2:$H$114)))</f>
        <v>0</v>
      </c>
      <c r="N53" s="20" t="n">
        <f aca="false">IF(N$5="",0,SUMPRODUCT((Plantillas!$A$2:$A$114=N$5)*(Plantillas!$D$2:$D$114=$A53)*(Plantillas!$G$2:$G$114*N(N$6)+Plantillas!$H$2:$H$114)))</f>
        <v>0</v>
      </c>
      <c r="O53" s="20" t="n">
        <f aca="false">IF(O$5="",0,SUMPRODUCT((Plantillas!$A$2:$A$114=O$5)*(Plantillas!$D$2:$D$114=$A53)*(Plantillas!$G$2:$G$114*N(O$6)+Plantillas!$H$2:$H$114)))</f>
        <v>0</v>
      </c>
      <c r="P53" s="20" t="n">
        <f aca="false">IF(P$5="",0,SUMPRODUCT((Plantillas!$A$2:$A$114=P$5)*(Plantillas!$D$2:$D$114=$A53)*(Plantillas!$G$2:$G$114*N(P$6)+Plantillas!$H$2:$H$114)))</f>
        <v>0</v>
      </c>
      <c r="Q53" s="20" t="n">
        <f aca="false">IF(Q$5="",0,SUMPRODUCT((Plantillas!$A$2:$A$114=Q$5)*(Plantillas!$D$2:$D$114=$A53)*(Plantillas!$G$2:$G$114*N(Q$6)+Plantillas!$H$2:$H$114)))</f>
        <v>0</v>
      </c>
      <c r="R53" s="20" t="n">
        <f aca="false">IF(R$5="",0,SUMPRODUCT((Plantillas!$A$2:$A$114=R$5)*(Plantillas!$D$2:$D$114=$A53)*(Plantillas!$G$2:$G$114*N(R$6)+Plantillas!$H$2:$H$114)))</f>
        <v>0</v>
      </c>
      <c r="S53" s="20" t="n">
        <f aca="false">SUM(E53:R53)</f>
        <v>70.7</v>
      </c>
      <c r="T53" s="21" t="n">
        <f aca="false">IF(INDEX(Partidas!$F$2:$F$99,MATCH(A53,Partidas!$A$2:$A$99,0))="","",INDEX(Partidas!$F$2:$F$99,MATCH(A53,Partidas!$A$2:$A$99,0)))</f>
        <v>18.75</v>
      </c>
      <c r="U53" s="22" t="n">
        <f aca="false">IF(T53="",0,S53*T53)</f>
        <v>1325.625</v>
      </c>
    </row>
    <row r="54" customFormat="false" ht="15" hidden="false" customHeight="false" outlineLevel="0" collapsed="false">
      <c r="A54" s="17" t="s">
        <v>50</v>
      </c>
      <c r="B54" s="18"/>
      <c r="C54" s="17" t="s">
        <v>51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9" t="n">
        <f aca="false">SUM(U55:U58)</f>
        <v>9468</v>
      </c>
    </row>
    <row r="55" customFormat="false" ht="15" hidden="false" customHeight="false" outlineLevel="0" collapsed="false">
      <c r="A55" s="0" t="s">
        <v>233</v>
      </c>
      <c r="B55" s="0" t="s">
        <v>50</v>
      </c>
      <c r="C55" s="9" t="str">
        <f aca="false">INDEX(Partidas!$D$2:$D$99,MATCH(A55,Partidas!$A$2:$A$99,0))</f>
        <v>Ventana de aluminio con rotura de puente térmico</v>
      </c>
      <c r="D55" s="9" t="str">
        <f aca="false">INDEX(Partidas!$C$2:$C$99,MATCH(A55,Partidas!$A$2:$A$99,0))</f>
        <v>ud</v>
      </c>
      <c r="E55" s="20" t="n">
        <f aca="false">IF(E$5="",0,SUMPRODUCT((Plantillas!$A$2:$A$114=E$5)*(Plantillas!$D$2:$D$114=$A55)*(Plantillas!$G$2:$G$114*N(E$6)+Plantillas!$H$2:$H$114)))</f>
        <v>0</v>
      </c>
      <c r="F55" s="20" t="n">
        <f aca="false">IF(F$5="",0,SUMPRODUCT((Plantillas!$A$2:$A$114=F$5)*(Plantillas!$D$2:$D$114=$A55)*(Plantillas!$G$2:$G$114*N(F$6)+Plantillas!$H$2:$H$114)))</f>
        <v>0</v>
      </c>
      <c r="G55" s="20" t="n">
        <f aca="false">IF(G$5="",0,SUMPRODUCT((Plantillas!$A$2:$A$114=G$5)*(Plantillas!$D$2:$D$114=$A55)*(Plantillas!$G$2:$G$114*N(G$6)+Plantillas!$H$2:$H$114)))</f>
        <v>0</v>
      </c>
      <c r="H55" s="20" t="n">
        <f aca="false">IF(H$5="",0,SUMPRODUCT((Plantillas!$A$2:$A$114=H$5)*(Plantillas!$D$2:$D$114=$A55)*(Plantillas!$G$2:$G$114*N(H$6)+Plantillas!$H$2:$H$114)))</f>
        <v>0</v>
      </c>
      <c r="I55" s="20" t="n">
        <f aca="false">IF(I$5="",0,SUMPRODUCT((Plantillas!$A$2:$A$114=I$5)*(Plantillas!$D$2:$D$114=$A55)*(Plantillas!$G$2:$G$114*N(I$6)+Plantillas!$H$2:$H$114)))</f>
        <v>0</v>
      </c>
      <c r="J55" s="20" t="n">
        <f aca="false">IF(J$5="",0,SUMPRODUCT((Plantillas!$A$2:$A$114=J$5)*(Plantillas!$D$2:$D$114=$A55)*(Plantillas!$G$2:$G$114*N(J$6)+Plantillas!$H$2:$H$114)))</f>
        <v>0</v>
      </c>
      <c r="K55" s="20" t="n">
        <f aca="false">IF(K$5="",0,SUMPRODUCT((Plantillas!$A$2:$A$114=K$5)*(Plantillas!$D$2:$D$114=$A55)*(Plantillas!$G$2:$G$114*N(K$6)+Plantillas!$H$2:$H$114)))</f>
        <v>0</v>
      </c>
      <c r="L55" s="20" t="n">
        <f aca="false">IF(L$5="",0,SUMPRODUCT((Plantillas!$A$2:$A$114=L$5)*(Plantillas!$D$2:$D$114=$A55)*(Plantillas!$G$2:$G$114*N(L$6)+Plantillas!$H$2:$H$114)))</f>
        <v>0</v>
      </c>
      <c r="M55" s="20" t="n">
        <f aca="false">IF(M$5="",0,SUMPRODUCT((Plantillas!$A$2:$A$114=M$5)*(Plantillas!$D$2:$D$114=$A55)*(Plantillas!$G$2:$G$114*N(M$6)+Plantillas!$H$2:$H$114)))</f>
        <v>0</v>
      </c>
      <c r="N55" s="20" t="n">
        <f aca="false">IF(N$5="",0,SUMPRODUCT((Plantillas!$A$2:$A$114=N$5)*(Plantillas!$D$2:$D$114=$A55)*(Plantillas!$G$2:$G$114*N(N$6)+Plantillas!$H$2:$H$114)))</f>
        <v>0</v>
      </c>
      <c r="O55" s="20" t="n">
        <f aca="false">IF(O$5="",0,SUMPRODUCT((Plantillas!$A$2:$A$114=O$5)*(Plantillas!$D$2:$D$114=$A55)*(Plantillas!$G$2:$G$114*N(O$6)+Plantillas!$H$2:$H$114)))</f>
        <v>0</v>
      </c>
      <c r="P55" s="20" t="n">
        <f aca="false">IF(P$5="",0,SUMPRODUCT((Plantillas!$A$2:$A$114=P$5)*(Plantillas!$D$2:$D$114=$A55)*(Plantillas!$G$2:$G$114*N(P$6)+Plantillas!$H$2:$H$114)))</f>
        <v>9</v>
      </c>
      <c r="Q55" s="20" t="n">
        <f aca="false">IF(Q$5="",0,SUMPRODUCT((Plantillas!$A$2:$A$114=Q$5)*(Plantillas!$D$2:$D$114=$A55)*(Plantillas!$G$2:$G$114*N(Q$6)+Plantillas!$H$2:$H$114)))</f>
        <v>0</v>
      </c>
      <c r="R55" s="20" t="n">
        <f aca="false">IF(R$5="",0,SUMPRODUCT((Plantillas!$A$2:$A$114=R$5)*(Plantillas!$D$2:$D$114=$A55)*(Plantillas!$G$2:$G$114*N(R$6)+Plantillas!$H$2:$H$114)))</f>
        <v>0</v>
      </c>
      <c r="S55" s="20" t="n">
        <f aca="false">SUM(E55:R55)</f>
        <v>9</v>
      </c>
      <c r="T55" s="21" t="n">
        <f aca="false">IF(INDEX(Partidas!$F$2:$F$99,MATCH(A55,Partidas!$A$2:$A$99,0))="","",INDEX(Partidas!$F$2:$F$99,MATCH(A55,Partidas!$A$2:$A$99,0)))</f>
        <v>1052</v>
      </c>
      <c r="U55" s="22" t="n">
        <f aca="false">IF(T55="",0,S55*T55)</f>
        <v>9468</v>
      </c>
    </row>
    <row r="56" customFormat="false" ht="15" hidden="false" customHeight="false" outlineLevel="0" collapsed="false">
      <c r="A56" s="0" t="s">
        <v>237</v>
      </c>
      <c r="B56" s="0" t="s">
        <v>50</v>
      </c>
      <c r="C56" s="9" t="str">
        <f aca="false">INDEX(Partidas!$D$2:$D$99,MATCH(A56,Partidas!$A$2:$A$99,0))</f>
        <v>Ventana de PVC</v>
      </c>
      <c r="D56" s="9" t="str">
        <f aca="false">INDEX(Partidas!$C$2:$C$99,MATCH(A56,Partidas!$A$2:$A$99,0))</f>
        <v>ud</v>
      </c>
      <c r="E56" s="20" t="n">
        <f aca="false">IF(E$5="",0,SUMPRODUCT((Plantillas!$A$2:$A$114=E$5)*(Plantillas!$D$2:$D$114=$A56)*(Plantillas!$G$2:$G$114*N(E$6)+Plantillas!$H$2:$H$114)))</f>
        <v>0</v>
      </c>
      <c r="F56" s="20" t="n">
        <f aca="false">IF(F$5="",0,SUMPRODUCT((Plantillas!$A$2:$A$114=F$5)*(Plantillas!$D$2:$D$114=$A56)*(Plantillas!$G$2:$G$114*N(F$6)+Plantillas!$H$2:$H$114)))</f>
        <v>0</v>
      </c>
      <c r="G56" s="20" t="n">
        <f aca="false">IF(G$5="",0,SUMPRODUCT((Plantillas!$A$2:$A$114=G$5)*(Plantillas!$D$2:$D$114=$A56)*(Plantillas!$G$2:$G$114*N(G$6)+Plantillas!$H$2:$H$114)))</f>
        <v>0</v>
      </c>
      <c r="H56" s="20" t="n">
        <f aca="false">IF(H$5="",0,SUMPRODUCT((Plantillas!$A$2:$A$114=H$5)*(Plantillas!$D$2:$D$114=$A56)*(Plantillas!$G$2:$G$114*N(H$6)+Plantillas!$H$2:$H$114)))</f>
        <v>0</v>
      </c>
      <c r="I56" s="20" t="n">
        <f aca="false">IF(I$5="",0,SUMPRODUCT((Plantillas!$A$2:$A$114=I$5)*(Plantillas!$D$2:$D$114=$A56)*(Plantillas!$G$2:$G$114*N(I$6)+Plantillas!$H$2:$H$114)))</f>
        <v>0</v>
      </c>
      <c r="J56" s="20" t="n">
        <f aca="false">IF(J$5="",0,SUMPRODUCT((Plantillas!$A$2:$A$114=J$5)*(Plantillas!$D$2:$D$114=$A56)*(Plantillas!$G$2:$G$114*N(J$6)+Plantillas!$H$2:$H$114)))</f>
        <v>0</v>
      </c>
      <c r="K56" s="20" t="n">
        <f aca="false">IF(K$5="",0,SUMPRODUCT((Plantillas!$A$2:$A$114=K$5)*(Plantillas!$D$2:$D$114=$A56)*(Plantillas!$G$2:$G$114*N(K$6)+Plantillas!$H$2:$H$114)))</f>
        <v>0</v>
      </c>
      <c r="L56" s="20" t="n">
        <f aca="false">IF(L$5="",0,SUMPRODUCT((Plantillas!$A$2:$A$114=L$5)*(Plantillas!$D$2:$D$114=$A56)*(Plantillas!$G$2:$G$114*N(L$6)+Plantillas!$H$2:$H$114)))</f>
        <v>0</v>
      </c>
      <c r="M56" s="20" t="n">
        <f aca="false">IF(M$5="",0,SUMPRODUCT((Plantillas!$A$2:$A$114=M$5)*(Plantillas!$D$2:$D$114=$A56)*(Plantillas!$G$2:$G$114*N(M$6)+Plantillas!$H$2:$H$114)))</f>
        <v>0</v>
      </c>
      <c r="N56" s="20" t="n">
        <f aca="false">IF(N$5="",0,SUMPRODUCT((Plantillas!$A$2:$A$114=N$5)*(Plantillas!$D$2:$D$114=$A56)*(Plantillas!$G$2:$G$114*N(N$6)+Plantillas!$H$2:$H$114)))</f>
        <v>0</v>
      </c>
      <c r="O56" s="20" t="n">
        <f aca="false">IF(O$5="",0,SUMPRODUCT((Plantillas!$A$2:$A$114=O$5)*(Plantillas!$D$2:$D$114=$A56)*(Plantillas!$G$2:$G$114*N(O$6)+Plantillas!$H$2:$H$114)))</f>
        <v>0</v>
      </c>
      <c r="P56" s="20" t="n">
        <f aca="false">IF(P$5="",0,SUMPRODUCT((Plantillas!$A$2:$A$114=P$5)*(Plantillas!$D$2:$D$114=$A56)*(Plantillas!$G$2:$G$114*N(P$6)+Plantillas!$H$2:$H$114)))</f>
        <v>0</v>
      </c>
      <c r="Q56" s="20" t="n">
        <f aca="false">IF(Q$5="",0,SUMPRODUCT((Plantillas!$A$2:$A$114=Q$5)*(Plantillas!$D$2:$D$114=$A56)*(Plantillas!$G$2:$G$114*N(Q$6)+Plantillas!$H$2:$H$114)))</f>
        <v>0</v>
      </c>
      <c r="R56" s="20" t="n">
        <f aca="false">IF(R$5="",0,SUMPRODUCT((Plantillas!$A$2:$A$114=R$5)*(Plantillas!$D$2:$D$114=$A56)*(Plantillas!$G$2:$G$114*N(R$6)+Plantillas!$H$2:$H$114)))</f>
        <v>0</v>
      </c>
      <c r="S56" s="20" t="n">
        <f aca="false">SUM(E56:R56)</f>
        <v>0</v>
      </c>
      <c r="T56" s="21" t="n">
        <f aca="false">IF(INDEX(Partidas!$F$2:$F$99,MATCH(A56,Partidas!$A$2:$A$99,0))="","",INDEX(Partidas!$F$2:$F$99,MATCH(A56,Partidas!$A$2:$A$99,0)))</f>
        <v>722</v>
      </c>
      <c r="U56" s="22" t="n">
        <f aca="false">IF(T56="",0,S56*T56)</f>
        <v>0</v>
      </c>
    </row>
    <row r="57" customFormat="false" ht="15" hidden="false" customHeight="false" outlineLevel="0" collapsed="false">
      <c r="A57" s="0" t="s">
        <v>241</v>
      </c>
      <c r="B57" s="0" t="s">
        <v>50</v>
      </c>
      <c r="C57" s="9" t="str">
        <f aca="false">INDEX(Partidas!$D$2:$D$99,MATCH(A57,Partidas!$A$2:$A$99,0))</f>
        <v>Persiana enrollable motorizada con cajón</v>
      </c>
      <c r="D57" s="9" t="str">
        <f aca="false">INDEX(Partidas!$C$2:$C$99,MATCH(A57,Partidas!$A$2:$A$99,0))</f>
        <v>ud</v>
      </c>
      <c r="E57" s="20" t="n">
        <f aca="false">IF(E$5="",0,SUMPRODUCT((Plantillas!$A$2:$A$114=E$5)*(Plantillas!$D$2:$D$114=$A57)*(Plantillas!$G$2:$G$114*N(E$6)+Plantillas!$H$2:$H$114)))</f>
        <v>0</v>
      </c>
      <c r="F57" s="20" t="n">
        <f aca="false">IF(F$5="",0,SUMPRODUCT((Plantillas!$A$2:$A$114=F$5)*(Plantillas!$D$2:$D$114=$A57)*(Plantillas!$G$2:$G$114*N(F$6)+Plantillas!$H$2:$H$114)))</f>
        <v>0</v>
      </c>
      <c r="G57" s="20" t="n">
        <f aca="false">IF(G$5="",0,SUMPRODUCT((Plantillas!$A$2:$A$114=G$5)*(Plantillas!$D$2:$D$114=$A57)*(Plantillas!$G$2:$G$114*N(G$6)+Plantillas!$H$2:$H$114)))</f>
        <v>0</v>
      </c>
      <c r="H57" s="20" t="n">
        <f aca="false">IF(H$5="",0,SUMPRODUCT((Plantillas!$A$2:$A$114=H$5)*(Plantillas!$D$2:$D$114=$A57)*(Plantillas!$G$2:$G$114*N(H$6)+Plantillas!$H$2:$H$114)))</f>
        <v>0</v>
      </c>
      <c r="I57" s="20" t="n">
        <f aca="false">IF(I$5="",0,SUMPRODUCT((Plantillas!$A$2:$A$114=I$5)*(Plantillas!$D$2:$D$114=$A57)*(Plantillas!$G$2:$G$114*N(I$6)+Plantillas!$H$2:$H$114)))</f>
        <v>0</v>
      </c>
      <c r="J57" s="20" t="n">
        <f aca="false">IF(J$5="",0,SUMPRODUCT((Plantillas!$A$2:$A$114=J$5)*(Plantillas!$D$2:$D$114=$A57)*(Plantillas!$G$2:$G$114*N(J$6)+Plantillas!$H$2:$H$114)))</f>
        <v>0</v>
      </c>
      <c r="K57" s="20" t="n">
        <f aca="false">IF(K$5="",0,SUMPRODUCT((Plantillas!$A$2:$A$114=K$5)*(Plantillas!$D$2:$D$114=$A57)*(Plantillas!$G$2:$G$114*N(K$6)+Plantillas!$H$2:$H$114)))</f>
        <v>0</v>
      </c>
      <c r="L57" s="20" t="n">
        <f aca="false">IF(L$5="",0,SUMPRODUCT((Plantillas!$A$2:$A$114=L$5)*(Plantillas!$D$2:$D$114=$A57)*(Plantillas!$G$2:$G$114*N(L$6)+Plantillas!$H$2:$H$114)))</f>
        <v>0</v>
      </c>
      <c r="M57" s="20" t="n">
        <f aca="false">IF(M$5="",0,SUMPRODUCT((Plantillas!$A$2:$A$114=M$5)*(Plantillas!$D$2:$D$114=$A57)*(Plantillas!$G$2:$G$114*N(M$6)+Plantillas!$H$2:$H$114)))</f>
        <v>0</v>
      </c>
      <c r="N57" s="20" t="n">
        <f aca="false">IF(N$5="",0,SUMPRODUCT((Plantillas!$A$2:$A$114=N$5)*(Plantillas!$D$2:$D$114=$A57)*(Plantillas!$G$2:$G$114*N(N$6)+Plantillas!$H$2:$H$114)))</f>
        <v>0</v>
      </c>
      <c r="O57" s="20" t="n">
        <f aca="false">IF(O$5="",0,SUMPRODUCT((Plantillas!$A$2:$A$114=O$5)*(Plantillas!$D$2:$D$114=$A57)*(Plantillas!$G$2:$G$114*N(O$6)+Plantillas!$H$2:$H$114)))</f>
        <v>0</v>
      </c>
      <c r="P57" s="20" t="n">
        <f aca="false">IF(P$5="",0,SUMPRODUCT((Plantillas!$A$2:$A$114=P$5)*(Plantillas!$D$2:$D$114=$A57)*(Plantillas!$G$2:$G$114*N(P$6)+Plantillas!$H$2:$H$114)))</f>
        <v>0</v>
      </c>
      <c r="Q57" s="20" t="n">
        <f aca="false">IF(Q$5="",0,SUMPRODUCT((Plantillas!$A$2:$A$114=Q$5)*(Plantillas!$D$2:$D$114=$A57)*(Plantillas!$G$2:$G$114*N(Q$6)+Plantillas!$H$2:$H$114)))</f>
        <v>0</v>
      </c>
      <c r="R57" s="20" t="n">
        <f aca="false">IF(R$5="",0,SUMPRODUCT((Plantillas!$A$2:$A$114=R$5)*(Plantillas!$D$2:$D$114=$A57)*(Plantillas!$G$2:$G$114*N(R$6)+Plantillas!$H$2:$H$114)))</f>
        <v>0</v>
      </c>
      <c r="S57" s="20" t="n">
        <f aca="false">SUM(E57:R57)</f>
        <v>0</v>
      </c>
      <c r="T57" s="21" t="str">
        <f aca="false">IF(INDEX(Partidas!$F$2:$F$99,MATCH(A57,Partidas!$A$2:$A$99,0))="","",INDEX(Partidas!$F$2:$F$99,MATCH(A57,Partidas!$A$2:$A$99,0)))</f>
        <v/>
      </c>
      <c r="U57" s="22" t="n">
        <f aca="false">IF(T57="",0,S57*T57)</f>
        <v>0</v>
      </c>
    </row>
    <row r="58" customFormat="false" ht="15" hidden="false" customHeight="false" outlineLevel="0" collapsed="false">
      <c r="A58" s="0" t="s">
        <v>244</v>
      </c>
      <c r="B58" s="0" t="s">
        <v>50</v>
      </c>
      <c r="C58" s="9" t="str">
        <f aca="false">INDEX(Partidas!$D$2:$D$99,MATCH(A58,Partidas!$A$2:$A$99,0))</f>
        <v>Puerta de entrada blindada</v>
      </c>
      <c r="D58" s="9" t="str">
        <f aca="false">INDEX(Partidas!$C$2:$C$99,MATCH(A58,Partidas!$A$2:$A$99,0))</f>
        <v>ud</v>
      </c>
      <c r="E58" s="20" t="n">
        <f aca="false">IF(E$5="",0,SUMPRODUCT((Plantillas!$A$2:$A$114=E$5)*(Plantillas!$D$2:$D$114=$A58)*(Plantillas!$G$2:$G$114*N(E$6)+Plantillas!$H$2:$H$114)))</f>
        <v>0</v>
      </c>
      <c r="F58" s="20" t="n">
        <f aca="false">IF(F$5="",0,SUMPRODUCT((Plantillas!$A$2:$A$114=F$5)*(Plantillas!$D$2:$D$114=$A58)*(Plantillas!$G$2:$G$114*N(F$6)+Plantillas!$H$2:$H$114)))</f>
        <v>0</v>
      </c>
      <c r="G58" s="20" t="n">
        <f aca="false">IF(G$5="",0,SUMPRODUCT((Plantillas!$A$2:$A$114=G$5)*(Plantillas!$D$2:$D$114=$A58)*(Plantillas!$G$2:$G$114*N(G$6)+Plantillas!$H$2:$H$114)))</f>
        <v>0</v>
      </c>
      <c r="H58" s="20" t="n">
        <f aca="false">IF(H$5="",0,SUMPRODUCT((Plantillas!$A$2:$A$114=H$5)*(Plantillas!$D$2:$D$114=$A58)*(Plantillas!$G$2:$G$114*N(H$6)+Plantillas!$H$2:$H$114)))</f>
        <v>0</v>
      </c>
      <c r="I58" s="20" t="n">
        <f aca="false">IF(I$5="",0,SUMPRODUCT((Plantillas!$A$2:$A$114=I$5)*(Plantillas!$D$2:$D$114=$A58)*(Plantillas!$G$2:$G$114*N(I$6)+Plantillas!$H$2:$H$114)))</f>
        <v>0</v>
      </c>
      <c r="J58" s="20" t="n">
        <f aca="false">IF(J$5="",0,SUMPRODUCT((Plantillas!$A$2:$A$114=J$5)*(Plantillas!$D$2:$D$114=$A58)*(Plantillas!$G$2:$G$114*N(J$6)+Plantillas!$H$2:$H$114)))</f>
        <v>0</v>
      </c>
      <c r="K58" s="20" t="n">
        <f aca="false">IF(K$5="",0,SUMPRODUCT((Plantillas!$A$2:$A$114=K$5)*(Plantillas!$D$2:$D$114=$A58)*(Plantillas!$G$2:$G$114*N(K$6)+Plantillas!$H$2:$H$114)))</f>
        <v>0</v>
      </c>
      <c r="L58" s="20" t="n">
        <f aca="false">IF(L$5="",0,SUMPRODUCT((Plantillas!$A$2:$A$114=L$5)*(Plantillas!$D$2:$D$114=$A58)*(Plantillas!$G$2:$G$114*N(L$6)+Plantillas!$H$2:$H$114)))</f>
        <v>0</v>
      </c>
      <c r="M58" s="20" t="n">
        <f aca="false">IF(M$5="",0,SUMPRODUCT((Plantillas!$A$2:$A$114=M$5)*(Plantillas!$D$2:$D$114=$A58)*(Plantillas!$G$2:$G$114*N(M$6)+Plantillas!$H$2:$H$114)))</f>
        <v>0</v>
      </c>
      <c r="N58" s="20" t="n">
        <f aca="false">IF(N$5="",0,SUMPRODUCT((Plantillas!$A$2:$A$114=N$5)*(Plantillas!$D$2:$D$114=$A58)*(Plantillas!$G$2:$G$114*N(N$6)+Plantillas!$H$2:$H$114)))</f>
        <v>0</v>
      </c>
      <c r="O58" s="20" t="n">
        <f aca="false">IF(O$5="",0,SUMPRODUCT((Plantillas!$A$2:$A$114=O$5)*(Plantillas!$D$2:$D$114=$A58)*(Plantillas!$G$2:$G$114*N(O$6)+Plantillas!$H$2:$H$114)))</f>
        <v>0</v>
      </c>
      <c r="P58" s="20" t="n">
        <f aca="false">IF(P$5="",0,SUMPRODUCT((Plantillas!$A$2:$A$114=P$5)*(Plantillas!$D$2:$D$114=$A58)*(Plantillas!$G$2:$G$114*N(P$6)+Plantillas!$H$2:$H$114)))</f>
        <v>0</v>
      </c>
      <c r="Q58" s="20" t="n">
        <f aca="false">IF(Q$5="",0,SUMPRODUCT((Plantillas!$A$2:$A$114=Q$5)*(Plantillas!$D$2:$D$114=$A58)*(Plantillas!$G$2:$G$114*N(Q$6)+Plantillas!$H$2:$H$114)))</f>
        <v>0</v>
      </c>
      <c r="R58" s="20" t="n">
        <f aca="false">IF(R$5="",0,SUMPRODUCT((Plantillas!$A$2:$A$114=R$5)*(Plantillas!$D$2:$D$114=$A58)*(Plantillas!$G$2:$G$114*N(R$6)+Plantillas!$H$2:$H$114)))</f>
        <v>0</v>
      </c>
      <c r="S58" s="20" t="n">
        <f aca="false">SUM(E58:R58)</f>
        <v>0</v>
      </c>
      <c r="T58" s="21" t="str">
        <f aca="false">IF(INDEX(Partidas!$F$2:$F$99,MATCH(A58,Partidas!$A$2:$A$99,0))="","",INDEX(Partidas!$F$2:$F$99,MATCH(A58,Partidas!$A$2:$A$99,0)))</f>
        <v/>
      </c>
      <c r="U58" s="22" t="n">
        <f aca="false">IF(T58="",0,S58*T58)</f>
        <v>0</v>
      </c>
    </row>
    <row r="59" customFormat="false" ht="15" hidden="false" customHeight="false" outlineLevel="0" collapsed="false">
      <c r="A59" s="17" t="s">
        <v>53</v>
      </c>
      <c r="B59" s="18"/>
      <c r="C59" s="17" t="s">
        <v>54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9" t="n">
        <f aca="false">SUM(U60:U65)</f>
        <v>2895</v>
      </c>
    </row>
    <row r="60" customFormat="false" ht="15" hidden="false" customHeight="false" outlineLevel="0" collapsed="false">
      <c r="A60" s="0" t="s">
        <v>247</v>
      </c>
      <c r="B60" s="0" t="s">
        <v>53</v>
      </c>
      <c r="C60" s="9" t="str">
        <f aca="false">INDEX(Partidas!$D$2:$D$99,MATCH(A60,Partidas!$A$2:$A$99,0))</f>
        <v>Puerta de paso abatible, altura estándar</v>
      </c>
      <c r="D60" s="9" t="str">
        <f aca="false">INDEX(Partidas!$C$2:$C$99,MATCH(A60,Partidas!$A$2:$A$99,0))</f>
        <v>ud</v>
      </c>
      <c r="E60" s="20" t="n">
        <f aca="false">IF(E$5="",0,SUMPRODUCT((Plantillas!$A$2:$A$114=E$5)*(Plantillas!$D$2:$D$114=$A60)*(Plantillas!$G$2:$G$114*N(E$6)+Plantillas!$H$2:$H$114)))</f>
        <v>0</v>
      </c>
      <c r="F60" s="20" t="n">
        <f aca="false">IF(F$5="",0,SUMPRODUCT((Plantillas!$A$2:$A$114=F$5)*(Plantillas!$D$2:$D$114=$A60)*(Plantillas!$G$2:$G$114*N(F$6)+Plantillas!$H$2:$H$114)))</f>
        <v>0</v>
      </c>
      <c r="G60" s="20" t="n">
        <f aca="false">IF(G$5="",0,SUMPRODUCT((Plantillas!$A$2:$A$114=G$5)*(Plantillas!$D$2:$D$114=$A60)*(Plantillas!$G$2:$G$114*N(G$6)+Plantillas!$H$2:$H$114)))</f>
        <v>1</v>
      </c>
      <c r="H60" s="20" t="n">
        <f aca="false">IF(H$5="",0,SUMPRODUCT((Plantillas!$A$2:$A$114=H$5)*(Plantillas!$D$2:$D$114=$A60)*(Plantillas!$G$2:$G$114*N(H$6)+Plantillas!$H$2:$H$114)))</f>
        <v>1</v>
      </c>
      <c r="I60" s="20" t="n">
        <f aca="false">IF(I$5="",0,SUMPRODUCT((Plantillas!$A$2:$A$114=I$5)*(Plantillas!$D$2:$D$114=$A60)*(Plantillas!$G$2:$G$114*N(I$6)+Plantillas!$H$2:$H$114)))</f>
        <v>1</v>
      </c>
      <c r="J60" s="20" t="n">
        <f aca="false">IF(J$5="",0,SUMPRODUCT((Plantillas!$A$2:$A$114=J$5)*(Plantillas!$D$2:$D$114=$A60)*(Plantillas!$G$2:$G$114*N(J$6)+Plantillas!$H$2:$H$114)))</f>
        <v>0</v>
      </c>
      <c r="K60" s="20" t="n">
        <f aca="false">IF(K$5="",0,SUMPRODUCT((Plantillas!$A$2:$A$114=K$5)*(Plantillas!$D$2:$D$114=$A60)*(Plantillas!$G$2:$G$114*N(K$6)+Plantillas!$H$2:$H$114)))</f>
        <v>0</v>
      </c>
      <c r="L60" s="20" t="n">
        <f aca="false">IF(L$5="",0,SUMPRODUCT((Plantillas!$A$2:$A$114=L$5)*(Plantillas!$D$2:$D$114=$A60)*(Plantillas!$G$2:$G$114*N(L$6)+Plantillas!$H$2:$H$114)))</f>
        <v>0</v>
      </c>
      <c r="M60" s="20" t="n">
        <f aca="false">IF(M$5="",0,SUMPRODUCT((Plantillas!$A$2:$A$114=M$5)*(Plantillas!$D$2:$D$114=$A60)*(Plantillas!$G$2:$G$114*N(M$6)+Plantillas!$H$2:$H$114)))</f>
        <v>0</v>
      </c>
      <c r="N60" s="20" t="n">
        <f aca="false">IF(N$5="",0,SUMPRODUCT((Plantillas!$A$2:$A$114=N$5)*(Plantillas!$D$2:$D$114=$A60)*(Plantillas!$G$2:$G$114*N(N$6)+Plantillas!$H$2:$H$114)))</f>
        <v>1</v>
      </c>
      <c r="O60" s="20" t="n">
        <f aca="false">IF(O$5="",0,SUMPRODUCT((Plantillas!$A$2:$A$114=O$5)*(Plantillas!$D$2:$D$114=$A60)*(Plantillas!$G$2:$G$114*N(O$6)+Plantillas!$H$2:$H$114)))</f>
        <v>1</v>
      </c>
      <c r="P60" s="20" t="n">
        <f aca="false">IF(P$5="",0,SUMPRODUCT((Plantillas!$A$2:$A$114=P$5)*(Plantillas!$D$2:$D$114=$A60)*(Plantillas!$G$2:$G$114*N(P$6)+Plantillas!$H$2:$H$114)))</f>
        <v>0</v>
      </c>
      <c r="Q60" s="20" t="n">
        <f aca="false">IF(Q$5="",0,SUMPRODUCT((Plantillas!$A$2:$A$114=Q$5)*(Plantillas!$D$2:$D$114=$A60)*(Plantillas!$G$2:$G$114*N(Q$6)+Plantillas!$H$2:$H$114)))</f>
        <v>0</v>
      </c>
      <c r="R60" s="20" t="n">
        <f aca="false">IF(R$5="",0,SUMPRODUCT((Plantillas!$A$2:$A$114=R$5)*(Plantillas!$D$2:$D$114=$A60)*(Plantillas!$G$2:$G$114*N(R$6)+Plantillas!$H$2:$H$114)))</f>
        <v>0</v>
      </c>
      <c r="S60" s="20" t="n">
        <f aca="false">SUM(E60:R60)</f>
        <v>5</v>
      </c>
      <c r="T60" s="21" t="n">
        <f aca="false">IF(INDEX(Partidas!$F$2:$F$99,MATCH(A60,Partidas!$A$2:$A$99,0))="","",INDEX(Partidas!$F$2:$F$99,MATCH(A60,Partidas!$A$2:$A$99,0)))</f>
        <v>495</v>
      </c>
      <c r="U60" s="22" t="n">
        <f aca="false">IF(T60="",0,S60*T60)</f>
        <v>2475</v>
      </c>
    </row>
    <row r="61" customFormat="false" ht="15" hidden="false" customHeight="false" outlineLevel="0" collapsed="false">
      <c r="A61" s="0" t="s">
        <v>251</v>
      </c>
      <c r="B61" s="0" t="s">
        <v>53</v>
      </c>
      <c r="C61" s="9" t="str">
        <f aca="false">INDEX(Partidas!$D$2:$D$99,MATCH(A61,Partidas!$A$2:$A$99,0))</f>
        <v>Puerta de paso abatible, gran altura</v>
      </c>
      <c r="D61" s="9" t="str">
        <f aca="false">INDEX(Partidas!$C$2:$C$99,MATCH(A61,Partidas!$A$2:$A$99,0))</f>
        <v>ud</v>
      </c>
      <c r="E61" s="20" t="n">
        <f aca="false">IF(E$5="",0,SUMPRODUCT((Plantillas!$A$2:$A$114=E$5)*(Plantillas!$D$2:$D$114=$A61)*(Plantillas!$G$2:$G$114*N(E$6)+Plantillas!$H$2:$H$114)))</f>
        <v>0</v>
      </c>
      <c r="F61" s="20" t="n">
        <f aca="false">IF(F$5="",0,SUMPRODUCT((Plantillas!$A$2:$A$114=F$5)*(Plantillas!$D$2:$D$114=$A61)*(Plantillas!$G$2:$G$114*N(F$6)+Plantillas!$H$2:$H$114)))</f>
        <v>0</v>
      </c>
      <c r="G61" s="20" t="n">
        <f aca="false">IF(G$5="",0,SUMPRODUCT((Plantillas!$A$2:$A$114=G$5)*(Plantillas!$D$2:$D$114=$A61)*(Plantillas!$G$2:$G$114*N(G$6)+Plantillas!$H$2:$H$114)))</f>
        <v>0</v>
      </c>
      <c r="H61" s="20" t="n">
        <f aca="false">IF(H$5="",0,SUMPRODUCT((Plantillas!$A$2:$A$114=H$5)*(Plantillas!$D$2:$D$114=$A61)*(Plantillas!$G$2:$G$114*N(H$6)+Plantillas!$H$2:$H$114)))</f>
        <v>0</v>
      </c>
      <c r="I61" s="20" t="n">
        <f aca="false">IF(I$5="",0,SUMPRODUCT((Plantillas!$A$2:$A$114=I$5)*(Plantillas!$D$2:$D$114=$A61)*(Plantillas!$G$2:$G$114*N(I$6)+Plantillas!$H$2:$H$114)))</f>
        <v>0</v>
      </c>
      <c r="J61" s="20" t="n">
        <f aca="false">IF(J$5="",0,SUMPRODUCT((Plantillas!$A$2:$A$114=J$5)*(Plantillas!$D$2:$D$114=$A61)*(Plantillas!$G$2:$G$114*N(J$6)+Plantillas!$H$2:$H$114)))</f>
        <v>0</v>
      </c>
      <c r="K61" s="20" t="n">
        <f aca="false">IF(K$5="",0,SUMPRODUCT((Plantillas!$A$2:$A$114=K$5)*(Plantillas!$D$2:$D$114=$A61)*(Plantillas!$G$2:$G$114*N(K$6)+Plantillas!$H$2:$H$114)))</f>
        <v>0</v>
      </c>
      <c r="L61" s="20" t="n">
        <f aca="false">IF(L$5="",0,SUMPRODUCT((Plantillas!$A$2:$A$114=L$5)*(Plantillas!$D$2:$D$114=$A61)*(Plantillas!$G$2:$G$114*N(L$6)+Plantillas!$H$2:$H$114)))</f>
        <v>0</v>
      </c>
      <c r="M61" s="20" t="n">
        <f aca="false">IF(M$5="",0,SUMPRODUCT((Plantillas!$A$2:$A$114=M$5)*(Plantillas!$D$2:$D$114=$A61)*(Plantillas!$G$2:$G$114*N(M$6)+Plantillas!$H$2:$H$114)))</f>
        <v>0</v>
      </c>
      <c r="N61" s="20" t="n">
        <f aca="false">IF(N$5="",0,SUMPRODUCT((Plantillas!$A$2:$A$114=N$5)*(Plantillas!$D$2:$D$114=$A61)*(Plantillas!$G$2:$G$114*N(N$6)+Plantillas!$H$2:$H$114)))</f>
        <v>0</v>
      </c>
      <c r="O61" s="20" t="n">
        <f aca="false">IF(O$5="",0,SUMPRODUCT((Plantillas!$A$2:$A$114=O$5)*(Plantillas!$D$2:$D$114=$A61)*(Plantillas!$G$2:$G$114*N(O$6)+Plantillas!$H$2:$H$114)))</f>
        <v>0</v>
      </c>
      <c r="P61" s="20" t="n">
        <f aca="false">IF(P$5="",0,SUMPRODUCT((Plantillas!$A$2:$A$114=P$5)*(Plantillas!$D$2:$D$114=$A61)*(Plantillas!$G$2:$G$114*N(P$6)+Plantillas!$H$2:$H$114)))</f>
        <v>0</v>
      </c>
      <c r="Q61" s="20" t="n">
        <f aca="false">IF(Q$5="",0,SUMPRODUCT((Plantillas!$A$2:$A$114=Q$5)*(Plantillas!$D$2:$D$114=$A61)*(Plantillas!$G$2:$G$114*N(Q$6)+Plantillas!$H$2:$H$114)))</f>
        <v>0</v>
      </c>
      <c r="R61" s="20" t="n">
        <f aca="false">IF(R$5="",0,SUMPRODUCT((Plantillas!$A$2:$A$114=R$5)*(Plantillas!$D$2:$D$114=$A61)*(Plantillas!$G$2:$G$114*N(R$6)+Plantillas!$H$2:$H$114)))</f>
        <v>0</v>
      </c>
      <c r="S61" s="20" t="n">
        <f aca="false">SUM(E61:R61)</f>
        <v>0</v>
      </c>
      <c r="T61" s="21" t="n">
        <f aca="false">IF(INDEX(Partidas!$F$2:$F$99,MATCH(A61,Partidas!$A$2:$A$99,0))="","",INDEX(Partidas!$F$2:$F$99,MATCH(A61,Partidas!$A$2:$A$99,0)))</f>
        <v>1160</v>
      </c>
      <c r="U61" s="22" t="n">
        <f aca="false">IF(T61="",0,S61*T61)</f>
        <v>0</v>
      </c>
    </row>
    <row r="62" customFormat="false" ht="15" hidden="false" customHeight="false" outlineLevel="0" collapsed="false">
      <c r="A62" s="0" t="s">
        <v>255</v>
      </c>
      <c r="B62" s="0" t="s">
        <v>53</v>
      </c>
      <c r="C62" s="9" t="str">
        <f aca="false">INDEX(Partidas!$D$2:$D$99,MATCH(A62,Partidas!$A$2:$A$99,0))</f>
        <v>Puerta corredera con casoneto</v>
      </c>
      <c r="D62" s="9" t="str">
        <f aca="false">INDEX(Partidas!$C$2:$C$99,MATCH(A62,Partidas!$A$2:$A$99,0))</f>
        <v>ud</v>
      </c>
      <c r="E62" s="20" t="n">
        <f aca="false">IF(E$5="",0,SUMPRODUCT((Plantillas!$A$2:$A$114=E$5)*(Plantillas!$D$2:$D$114=$A62)*(Plantillas!$G$2:$G$114*N(E$6)+Plantillas!$H$2:$H$114)))</f>
        <v>0</v>
      </c>
      <c r="F62" s="20" t="n">
        <f aca="false">IF(F$5="",0,SUMPRODUCT((Plantillas!$A$2:$A$114=F$5)*(Plantillas!$D$2:$D$114=$A62)*(Plantillas!$G$2:$G$114*N(F$6)+Plantillas!$H$2:$H$114)))</f>
        <v>0</v>
      </c>
      <c r="G62" s="20" t="n">
        <f aca="false">IF(G$5="",0,SUMPRODUCT((Plantillas!$A$2:$A$114=G$5)*(Plantillas!$D$2:$D$114=$A62)*(Plantillas!$G$2:$G$114*N(G$6)+Plantillas!$H$2:$H$114)))</f>
        <v>0</v>
      </c>
      <c r="H62" s="20" t="n">
        <f aca="false">IF(H$5="",0,SUMPRODUCT((Plantillas!$A$2:$A$114=H$5)*(Plantillas!$D$2:$D$114=$A62)*(Plantillas!$G$2:$G$114*N(H$6)+Plantillas!$H$2:$H$114)))</f>
        <v>0</v>
      </c>
      <c r="I62" s="20" t="n">
        <f aca="false">IF(I$5="",0,SUMPRODUCT((Plantillas!$A$2:$A$114=I$5)*(Plantillas!$D$2:$D$114=$A62)*(Plantillas!$G$2:$G$114*N(I$6)+Plantillas!$H$2:$H$114)))</f>
        <v>0</v>
      </c>
      <c r="J62" s="20" t="n">
        <f aca="false">IF(J$5="",0,SUMPRODUCT((Plantillas!$A$2:$A$114=J$5)*(Plantillas!$D$2:$D$114=$A62)*(Plantillas!$G$2:$G$114*N(J$6)+Plantillas!$H$2:$H$114)))</f>
        <v>0</v>
      </c>
      <c r="K62" s="20" t="n">
        <f aca="false">IF(K$5="",0,SUMPRODUCT((Plantillas!$A$2:$A$114=K$5)*(Plantillas!$D$2:$D$114=$A62)*(Plantillas!$G$2:$G$114*N(K$6)+Plantillas!$H$2:$H$114)))</f>
        <v>0</v>
      </c>
      <c r="L62" s="20" t="n">
        <f aca="false">IF(L$5="",0,SUMPRODUCT((Plantillas!$A$2:$A$114=L$5)*(Plantillas!$D$2:$D$114=$A62)*(Plantillas!$G$2:$G$114*N(L$6)+Plantillas!$H$2:$H$114)))</f>
        <v>0</v>
      </c>
      <c r="M62" s="20" t="n">
        <f aca="false">IF(M$5="",0,SUMPRODUCT((Plantillas!$A$2:$A$114=M$5)*(Plantillas!$D$2:$D$114=$A62)*(Plantillas!$G$2:$G$114*N(M$6)+Plantillas!$H$2:$H$114)))</f>
        <v>1</v>
      </c>
      <c r="N62" s="20" t="n">
        <f aca="false">IF(N$5="",0,SUMPRODUCT((Plantillas!$A$2:$A$114=N$5)*(Plantillas!$D$2:$D$114=$A62)*(Plantillas!$G$2:$G$114*N(N$6)+Plantillas!$H$2:$H$114)))</f>
        <v>0</v>
      </c>
      <c r="O62" s="20" t="n">
        <f aca="false">IF(O$5="",0,SUMPRODUCT((Plantillas!$A$2:$A$114=O$5)*(Plantillas!$D$2:$D$114=$A62)*(Plantillas!$G$2:$G$114*N(O$6)+Plantillas!$H$2:$H$114)))</f>
        <v>0</v>
      </c>
      <c r="P62" s="20" t="n">
        <f aca="false">IF(P$5="",0,SUMPRODUCT((Plantillas!$A$2:$A$114=P$5)*(Plantillas!$D$2:$D$114=$A62)*(Plantillas!$G$2:$G$114*N(P$6)+Plantillas!$H$2:$H$114)))</f>
        <v>0</v>
      </c>
      <c r="Q62" s="20" t="n">
        <f aca="false">IF(Q$5="",0,SUMPRODUCT((Plantillas!$A$2:$A$114=Q$5)*(Plantillas!$D$2:$D$114=$A62)*(Plantillas!$G$2:$G$114*N(Q$6)+Plantillas!$H$2:$H$114)))</f>
        <v>0</v>
      </c>
      <c r="R62" s="20" t="n">
        <f aca="false">IF(R$5="",0,SUMPRODUCT((Plantillas!$A$2:$A$114=R$5)*(Plantillas!$D$2:$D$114=$A62)*(Plantillas!$G$2:$G$114*N(R$6)+Plantillas!$H$2:$H$114)))</f>
        <v>0</v>
      </c>
      <c r="S62" s="20" t="n">
        <f aca="false">SUM(E62:R62)</f>
        <v>1</v>
      </c>
      <c r="T62" s="21" t="n">
        <f aca="false">IF(INDEX(Partidas!$F$2:$F$99,MATCH(A62,Partidas!$A$2:$A$99,0))="","",INDEX(Partidas!$F$2:$F$99,MATCH(A62,Partidas!$A$2:$A$99,0)))</f>
        <v>420</v>
      </c>
      <c r="U62" s="22" t="n">
        <f aca="false">IF(T62="",0,S62*T62)</f>
        <v>420</v>
      </c>
    </row>
    <row r="63" customFormat="false" ht="15" hidden="false" customHeight="false" outlineLevel="0" collapsed="false">
      <c r="A63" s="0" t="s">
        <v>259</v>
      </c>
      <c r="B63" s="0" t="s">
        <v>53</v>
      </c>
      <c r="C63" s="9" t="str">
        <f aca="false">INDEX(Partidas!$D$2:$D$99,MATCH(A63,Partidas!$A$2:$A$99,0))</f>
        <v>Armario empotrado de suelo a techo</v>
      </c>
      <c r="D63" s="9" t="str">
        <f aca="false">INDEX(Partidas!$C$2:$C$99,MATCH(A63,Partidas!$A$2:$A$99,0))</f>
        <v>m2</v>
      </c>
      <c r="E63" s="20" t="n">
        <f aca="false">IF(E$5="",0,SUMPRODUCT((Plantillas!$A$2:$A$114=E$5)*(Plantillas!$D$2:$D$114=$A63)*(Plantillas!$G$2:$G$114*N(E$6)+Plantillas!$H$2:$H$114)))</f>
        <v>0</v>
      </c>
      <c r="F63" s="20" t="n">
        <f aca="false">IF(F$5="",0,SUMPRODUCT((Plantillas!$A$2:$A$114=F$5)*(Plantillas!$D$2:$D$114=$A63)*(Plantillas!$G$2:$G$114*N(F$6)+Plantillas!$H$2:$H$114)))</f>
        <v>0</v>
      </c>
      <c r="G63" s="20" t="n">
        <f aca="false">IF(G$5="",0,SUMPRODUCT((Plantillas!$A$2:$A$114=G$5)*(Plantillas!$D$2:$D$114=$A63)*(Plantillas!$G$2:$G$114*N(G$6)+Plantillas!$H$2:$H$114)))</f>
        <v>0</v>
      </c>
      <c r="H63" s="20" t="n">
        <f aca="false">IF(H$5="",0,SUMPRODUCT((Plantillas!$A$2:$A$114=H$5)*(Plantillas!$D$2:$D$114=$A63)*(Plantillas!$G$2:$G$114*N(H$6)+Plantillas!$H$2:$H$114)))</f>
        <v>0</v>
      </c>
      <c r="I63" s="20" t="n">
        <f aca="false">IF(I$5="",0,SUMPRODUCT((Plantillas!$A$2:$A$114=I$5)*(Plantillas!$D$2:$D$114=$A63)*(Plantillas!$G$2:$G$114*N(I$6)+Plantillas!$H$2:$H$114)))</f>
        <v>0</v>
      </c>
      <c r="J63" s="20" t="n">
        <f aca="false">IF(J$5="",0,SUMPRODUCT((Plantillas!$A$2:$A$114=J$5)*(Plantillas!$D$2:$D$114=$A63)*(Plantillas!$G$2:$G$114*N(J$6)+Plantillas!$H$2:$H$114)))</f>
        <v>0</v>
      </c>
      <c r="K63" s="20" t="n">
        <f aca="false">IF(K$5="",0,SUMPRODUCT((Plantillas!$A$2:$A$114=K$5)*(Plantillas!$D$2:$D$114=$A63)*(Plantillas!$G$2:$G$114*N(K$6)+Plantillas!$H$2:$H$114)))</f>
        <v>0</v>
      </c>
      <c r="L63" s="20" t="n">
        <f aca="false">IF(L$5="",0,SUMPRODUCT((Plantillas!$A$2:$A$114=L$5)*(Plantillas!$D$2:$D$114=$A63)*(Plantillas!$G$2:$G$114*N(L$6)+Plantillas!$H$2:$H$114)))</f>
        <v>0</v>
      </c>
      <c r="M63" s="20" t="n">
        <f aca="false">IF(M$5="",0,SUMPRODUCT((Plantillas!$A$2:$A$114=M$5)*(Plantillas!$D$2:$D$114=$A63)*(Plantillas!$G$2:$G$114*N(M$6)+Plantillas!$H$2:$H$114)))</f>
        <v>0</v>
      </c>
      <c r="N63" s="20" t="n">
        <f aca="false">IF(N$5="",0,SUMPRODUCT((Plantillas!$A$2:$A$114=N$5)*(Plantillas!$D$2:$D$114=$A63)*(Plantillas!$G$2:$G$114*N(N$6)+Plantillas!$H$2:$H$114)))</f>
        <v>0</v>
      </c>
      <c r="O63" s="20" t="n">
        <f aca="false">IF(O$5="",0,SUMPRODUCT((Plantillas!$A$2:$A$114=O$5)*(Plantillas!$D$2:$D$114=$A63)*(Plantillas!$G$2:$G$114*N(O$6)+Plantillas!$H$2:$H$114)))</f>
        <v>0</v>
      </c>
      <c r="P63" s="20" t="n">
        <f aca="false">IF(P$5="",0,SUMPRODUCT((Plantillas!$A$2:$A$114=P$5)*(Plantillas!$D$2:$D$114=$A63)*(Plantillas!$G$2:$G$114*N(P$6)+Plantillas!$H$2:$H$114)))</f>
        <v>0</v>
      </c>
      <c r="Q63" s="20" t="n">
        <f aca="false">IF(Q$5="",0,SUMPRODUCT((Plantillas!$A$2:$A$114=Q$5)*(Plantillas!$D$2:$D$114=$A63)*(Plantillas!$G$2:$G$114*N(Q$6)+Plantillas!$H$2:$H$114)))</f>
        <v>0</v>
      </c>
      <c r="R63" s="20" t="n">
        <f aca="false">IF(R$5="",0,SUMPRODUCT((Plantillas!$A$2:$A$114=R$5)*(Plantillas!$D$2:$D$114=$A63)*(Plantillas!$G$2:$G$114*N(R$6)+Plantillas!$H$2:$H$114)))</f>
        <v>0</v>
      </c>
      <c r="S63" s="20" t="n">
        <f aca="false">SUM(E63:R63)</f>
        <v>0</v>
      </c>
      <c r="T63" s="21" t="n">
        <f aca="false">IF(INDEX(Partidas!$F$2:$F$99,MATCH(A63,Partidas!$A$2:$A$99,0))="","",INDEX(Partidas!$F$2:$F$99,MATCH(A63,Partidas!$A$2:$A$99,0)))</f>
        <v>450</v>
      </c>
      <c r="U63" s="22" t="n">
        <f aca="false">IF(T63="",0,S63*T63)</f>
        <v>0</v>
      </c>
    </row>
    <row r="64" customFormat="false" ht="15" hidden="false" customHeight="false" outlineLevel="0" collapsed="false">
      <c r="A64" s="0" t="s">
        <v>263</v>
      </c>
      <c r="B64" s="0" t="s">
        <v>53</v>
      </c>
      <c r="C64" s="9" t="str">
        <f aca="false">INDEX(Partidas!$D$2:$D$99,MATCH(A64,Partidas!$A$2:$A$99,0))</f>
        <v>Estantería o librería a medida</v>
      </c>
      <c r="D64" s="9" t="str">
        <f aca="false">INDEX(Partidas!$C$2:$C$99,MATCH(A64,Partidas!$A$2:$A$99,0))</f>
        <v>m2</v>
      </c>
      <c r="E64" s="20" t="n">
        <f aca="false">IF(E$5="",0,SUMPRODUCT((Plantillas!$A$2:$A$114=E$5)*(Plantillas!$D$2:$D$114=$A64)*(Plantillas!$G$2:$G$114*N(E$6)+Plantillas!$H$2:$H$114)))</f>
        <v>0</v>
      </c>
      <c r="F64" s="20" t="n">
        <f aca="false">IF(F$5="",0,SUMPRODUCT((Plantillas!$A$2:$A$114=F$5)*(Plantillas!$D$2:$D$114=$A64)*(Plantillas!$G$2:$G$114*N(F$6)+Plantillas!$H$2:$H$114)))</f>
        <v>0</v>
      </c>
      <c r="G64" s="20" t="n">
        <f aca="false">IF(G$5="",0,SUMPRODUCT((Plantillas!$A$2:$A$114=G$5)*(Plantillas!$D$2:$D$114=$A64)*(Plantillas!$G$2:$G$114*N(G$6)+Plantillas!$H$2:$H$114)))</f>
        <v>0</v>
      </c>
      <c r="H64" s="20" t="n">
        <f aca="false">IF(H$5="",0,SUMPRODUCT((Plantillas!$A$2:$A$114=H$5)*(Plantillas!$D$2:$D$114=$A64)*(Plantillas!$G$2:$G$114*N(H$6)+Plantillas!$H$2:$H$114)))</f>
        <v>0</v>
      </c>
      <c r="I64" s="20" t="n">
        <f aca="false">IF(I$5="",0,SUMPRODUCT((Plantillas!$A$2:$A$114=I$5)*(Plantillas!$D$2:$D$114=$A64)*(Plantillas!$G$2:$G$114*N(I$6)+Plantillas!$H$2:$H$114)))</f>
        <v>0</v>
      </c>
      <c r="J64" s="20" t="n">
        <f aca="false">IF(J$5="",0,SUMPRODUCT((Plantillas!$A$2:$A$114=J$5)*(Plantillas!$D$2:$D$114=$A64)*(Plantillas!$G$2:$G$114*N(J$6)+Plantillas!$H$2:$H$114)))</f>
        <v>0</v>
      </c>
      <c r="K64" s="20" t="n">
        <f aca="false">IF(K$5="",0,SUMPRODUCT((Plantillas!$A$2:$A$114=K$5)*(Plantillas!$D$2:$D$114=$A64)*(Plantillas!$G$2:$G$114*N(K$6)+Plantillas!$H$2:$H$114)))</f>
        <v>0</v>
      </c>
      <c r="L64" s="20" t="n">
        <f aca="false">IF(L$5="",0,SUMPRODUCT((Plantillas!$A$2:$A$114=L$5)*(Plantillas!$D$2:$D$114=$A64)*(Plantillas!$G$2:$G$114*N(L$6)+Plantillas!$H$2:$H$114)))</f>
        <v>0</v>
      </c>
      <c r="M64" s="20" t="n">
        <f aca="false">IF(M$5="",0,SUMPRODUCT((Plantillas!$A$2:$A$114=M$5)*(Plantillas!$D$2:$D$114=$A64)*(Plantillas!$G$2:$G$114*N(M$6)+Plantillas!$H$2:$H$114)))</f>
        <v>0</v>
      </c>
      <c r="N64" s="20" t="n">
        <f aca="false">IF(N$5="",0,SUMPRODUCT((Plantillas!$A$2:$A$114=N$5)*(Plantillas!$D$2:$D$114=$A64)*(Plantillas!$G$2:$G$114*N(N$6)+Plantillas!$H$2:$H$114)))</f>
        <v>0</v>
      </c>
      <c r="O64" s="20" t="n">
        <f aca="false">IF(O$5="",0,SUMPRODUCT((Plantillas!$A$2:$A$114=O$5)*(Plantillas!$D$2:$D$114=$A64)*(Plantillas!$G$2:$G$114*N(O$6)+Plantillas!$H$2:$H$114)))</f>
        <v>0</v>
      </c>
      <c r="P64" s="20" t="n">
        <f aca="false">IF(P$5="",0,SUMPRODUCT((Plantillas!$A$2:$A$114=P$5)*(Plantillas!$D$2:$D$114=$A64)*(Plantillas!$G$2:$G$114*N(P$6)+Plantillas!$H$2:$H$114)))</f>
        <v>0</v>
      </c>
      <c r="Q64" s="20" t="n">
        <f aca="false">IF(Q$5="",0,SUMPRODUCT((Plantillas!$A$2:$A$114=Q$5)*(Plantillas!$D$2:$D$114=$A64)*(Plantillas!$G$2:$G$114*N(Q$6)+Plantillas!$H$2:$H$114)))</f>
        <v>0</v>
      </c>
      <c r="R64" s="20" t="n">
        <f aca="false">IF(R$5="",0,SUMPRODUCT((Plantillas!$A$2:$A$114=R$5)*(Plantillas!$D$2:$D$114=$A64)*(Plantillas!$G$2:$G$114*N(R$6)+Plantillas!$H$2:$H$114)))</f>
        <v>0</v>
      </c>
      <c r="S64" s="20" t="n">
        <f aca="false">SUM(E64:R64)</f>
        <v>0</v>
      </c>
      <c r="T64" s="21" t="n">
        <f aca="false">IF(INDEX(Partidas!$F$2:$F$99,MATCH(A64,Partidas!$A$2:$A$99,0))="","",INDEX(Partidas!$F$2:$F$99,MATCH(A64,Partidas!$A$2:$A$99,0)))</f>
        <v>450</v>
      </c>
      <c r="U64" s="22" t="n">
        <f aca="false">IF(T64="",0,S64*T64)</f>
        <v>0</v>
      </c>
    </row>
    <row r="65" customFormat="false" ht="15" hidden="false" customHeight="false" outlineLevel="0" collapsed="false">
      <c r="A65" s="0" t="s">
        <v>267</v>
      </c>
      <c r="B65" s="0" t="s">
        <v>53</v>
      </c>
      <c r="C65" s="9" t="str">
        <f aca="false">INDEX(Partidas!$D$2:$D$99,MATCH(A65,Partidas!$A$2:$A$99,0))</f>
        <v>Mueble de lavandería</v>
      </c>
      <c r="D65" s="9" t="str">
        <f aca="false">INDEX(Partidas!$C$2:$C$99,MATCH(A65,Partidas!$A$2:$A$99,0))</f>
        <v>m2</v>
      </c>
      <c r="E65" s="20" t="n">
        <f aca="false">IF(E$5="",0,SUMPRODUCT((Plantillas!$A$2:$A$114=E$5)*(Plantillas!$D$2:$D$114=$A65)*(Plantillas!$G$2:$G$114*N(E$6)+Plantillas!$H$2:$H$114)))</f>
        <v>0</v>
      </c>
      <c r="F65" s="20" t="n">
        <f aca="false">IF(F$5="",0,SUMPRODUCT((Plantillas!$A$2:$A$114=F$5)*(Plantillas!$D$2:$D$114=$A65)*(Plantillas!$G$2:$G$114*N(F$6)+Plantillas!$H$2:$H$114)))</f>
        <v>0</v>
      </c>
      <c r="G65" s="20" t="n">
        <f aca="false">IF(G$5="",0,SUMPRODUCT((Plantillas!$A$2:$A$114=G$5)*(Plantillas!$D$2:$D$114=$A65)*(Plantillas!$G$2:$G$114*N(G$6)+Plantillas!$H$2:$H$114)))</f>
        <v>0</v>
      </c>
      <c r="H65" s="20" t="n">
        <f aca="false">IF(H$5="",0,SUMPRODUCT((Plantillas!$A$2:$A$114=H$5)*(Plantillas!$D$2:$D$114=$A65)*(Plantillas!$G$2:$G$114*N(H$6)+Plantillas!$H$2:$H$114)))</f>
        <v>0</v>
      </c>
      <c r="I65" s="20" t="n">
        <f aca="false">IF(I$5="",0,SUMPRODUCT((Plantillas!$A$2:$A$114=I$5)*(Plantillas!$D$2:$D$114=$A65)*(Plantillas!$G$2:$G$114*N(I$6)+Plantillas!$H$2:$H$114)))</f>
        <v>0</v>
      </c>
      <c r="J65" s="20" t="n">
        <f aca="false">IF(J$5="",0,SUMPRODUCT((Plantillas!$A$2:$A$114=J$5)*(Plantillas!$D$2:$D$114=$A65)*(Plantillas!$G$2:$G$114*N(J$6)+Plantillas!$H$2:$H$114)))</f>
        <v>0</v>
      </c>
      <c r="K65" s="20" t="n">
        <f aca="false">IF(K$5="",0,SUMPRODUCT((Plantillas!$A$2:$A$114=K$5)*(Plantillas!$D$2:$D$114=$A65)*(Plantillas!$G$2:$G$114*N(K$6)+Plantillas!$H$2:$H$114)))</f>
        <v>0</v>
      </c>
      <c r="L65" s="20" t="n">
        <f aca="false">IF(L$5="",0,SUMPRODUCT((Plantillas!$A$2:$A$114=L$5)*(Plantillas!$D$2:$D$114=$A65)*(Plantillas!$G$2:$G$114*N(L$6)+Plantillas!$H$2:$H$114)))</f>
        <v>0</v>
      </c>
      <c r="M65" s="20" t="n">
        <f aca="false">IF(M$5="",0,SUMPRODUCT((Plantillas!$A$2:$A$114=M$5)*(Plantillas!$D$2:$D$114=$A65)*(Plantillas!$G$2:$G$114*N(M$6)+Plantillas!$H$2:$H$114)))</f>
        <v>0</v>
      </c>
      <c r="N65" s="20" t="n">
        <f aca="false">IF(N$5="",0,SUMPRODUCT((Plantillas!$A$2:$A$114=N$5)*(Plantillas!$D$2:$D$114=$A65)*(Plantillas!$G$2:$G$114*N(N$6)+Plantillas!$H$2:$H$114)))</f>
        <v>0</v>
      </c>
      <c r="O65" s="20" t="n">
        <f aca="false">IF(O$5="",0,SUMPRODUCT((Plantillas!$A$2:$A$114=O$5)*(Plantillas!$D$2:$D$114=$A65)*(Plantillas!$G$2:$G$114*N(O$6)+Plantillas!$H$2:$H$114)))</f>
        <v>0</v>
      </c>
      <c r="P65" s="20" t="n">
        <f aca="false">IF(P$5="",0,SUMPRODUCT((Plantillas!$A$2:$A$114=P$5)*(Plantillas!$D$2:$D$114=$A65)*(Plantillas!$G$2:$G$114*N(P$6)+Plantillas!$H$2:$H$114)))</f>
        <v>0</v>
      </c>
      <c r="Q65" s="20" t="n">
        <f aca="false">IF(Q$5="",0,SUMPRODUCT((Plantillas!$A$2:$A$114=Q$5)*(Plantillas!$D$2:$D$114=$A65)*(Plantillas!$G$2:$G$114*N(Q$6)+Plantillas!$H$2:$H$114)))</f>
        <v>0</v>
      </c>
      <c r="R65" s="20" t="n">
        <f aca="false">IF(R$5="",0,SUMPRODUCT((Plantillas!$A$2:$A$114=R$5)*(Plantillas!$D$2:$D$114=$A65)*(Plantillas!$G$2:$G$114*N(R$6)+Plantillas!$H$2:$H$114)))</f>
        <v>0</v>
      </c>
      <c r="S65" s="20" t="n">
        <f aca="false">SUM(E65:R65)</f>
        <v>0</v>
      </c>
      <c r="T65" s="21" t="n">
        <f aca="false">IF(INDEX(Partidas!$F$2:$F$99,MATCH(A65,Partidas!$A$2:$A$99,0))="","",INDEX(Partidas!$F$2:$F$99,MATCH(A65,Partidas!$A$2:$A$99,0)))</f>
        <v>320</v>
      </c>
      <c r="U65" s="22" t="n">
        <f aca="false">IF(T65="",0,S65*T65)</f>
        <v>0</v>
      </c>
    </row>
    <row r="66" customFormat="false" ht="15" hidden="false" customHeight="false" outlineLevel="0" collapsed="false">
      <c r="A66" s="17" t="s">
        <v>55</v>
      </c>
      <c r="B66" s="18"/>
      <c r="C66" s="17" t="s">
        <v>56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9" t="n">
        <f aca="false">SUM(U67:U71)</f>
        <v>2370</v>
      </c>
    </row>
    <row r="67" customFormat="false" ht="15" hidden="false" customHeight="false" outlineLevel="0" collapsed="false">
      <c r="A67" s="0" t="s">
        <v>271</v>
      </c>
      <c r="B67" s="0" t="s">
        <v>55</v>
      </c>
      <c r="C67" s="9" t="str">
        <f aca="false">INDEX(Partidas!$D$2:$D$99,MATCH(A67,Partidas!$A$2:$A$99,0))</f>
        <v>Punto de agua fría y caliente</v>
      </c>
      <c r="D67" s="9" t="str">
        <f aca="false">INDEX(Partidas!$C$2:$C$99,MATCH(A67,Partidas!$A$2:$A$99,0))</f>
        <v>ud</v>
      </c>
      <c r="E67" s="20" t="n">
        <f aca="false">IF(E$5="",0,SUMPRODUCT((Plantillas!$A$2:$A$114=E$5)*(Plantillas!$D$2:$D$114=$A67)*(Plantillas!$G$2:$G$114*N(E$6)+Plantillas!$H$2:$H$114)))</f>
        <v>0</v>
      </c>
      <c r="F67" s="20" t="n">
        <f aca="false">IF(F$5="",0,SUMPRODUCT((Plantillas!$A$2:$A$114=F$5)*(Plantillas!$D$2:$D$114=$A67)*(Plantillas!$G$2:$G$114*N(F$6)+Plantillas!$H$2:$H$114)))</f>
        <v>0</v>
      </c>
      <c r="G67" s="20" t="n">
        <f aca="false">IF(G$5="",0,SUMPRODUCT((Plantillas!$A$2:$A$114=G$5)*(Plantillas!$D$2:$D$114=$A67)*(Plantillas!$G$2:$G$114*N(G$6)+Plantillas!$H$2:$H$114)))</f>
        <v>0</v>
      </c>
      <c r="H67" s="20" t="n">
        <f aca="false">IF(H$5="",0,SUMPRODUCT((Plantillas!$A$2:$A$114=H$5)*(Plantillas!$D$2:$D$114=$A67)*(Plantillas!$G$2:$G$114*N(H$6)+Plantillas!$H$2:$H$114)))</f>
        <v>0</v>
      </c>
      <c r="I67" s="20" t="n">
        <f aca="false">IF(I$5="",0,SUMPRODUCT((Plantillas!$A$2:$A$114=I$5)*(Plantillas!$D$2:$D$114=$A67)*(Plantillas!$G$2:$G$114*N(I$6)+Plantillas!$H$2:$H$114)))</f>
        <v>0</v>
      </c>
      <c r="J67" s="20" t="n">
        <f aca="false">IF(J$5="",0,SUMPRODUCT((Plantillas!$A$2:$A$114=J$5)*(Plantillas!$D$2:$D$114=$A67)*(Plantillas!$G$2:$G$114*N(J$6)+Plantillas!$H$2:$H$114)))</f>
        <v>0</v>
      </c>
      <c r="K67" s="20" t="n">
        <f aca="false">IF(K$5="",0,SUMPRODUCT((Plantillas!$A$2:$A$114=K$5)*(Plantillas!$D$2:$D$114=$A67)*(Plantillas!$G$2:$G$114*N(K$6)+Plantillas!$H$2:$H$114)))</f>
        <v>0</v>
      </c>
      <c r="L67" s="20" t="n">
        <f aca="false">IF(L$5="",0,SUMPRODUCT((Plantillas!$A$2:$A$114=L$5)*(Plantillas!$D$2:$D$114=$A67)*(Plantillas!$G$2:$G$114*N(L$6)+Plantillas!$H$2:$H$114)))</f>
        <v>3</v>
      </c>
      <c r="M67" s="20" t="n">
        <f aca="false">IF(M$5="",0,SUMPRODUCT((Plantillas!$A$2:$A$114=M$5)*(Plantillas!$D$2:$D$114=$A67)*(Plantillas!$G$2:$G$114*N(M$6)+Plantillas!$H$2:$H$114)))</f>
        <v>2</v>
      </c>
      <c r="N67" s="20" t="n">
        <f aca="false">IF(N$5="",0,SUMPRODUCT((Plantillas!$A$2:$A$114=N$5)*(Plantillas!$D$2:$D$114=$A67)*(Plantillas!$G$2:$G$114*N(N$6)+Plantillas!$H$2:$H$114)))</f>
        <v>4.5</v>
      </c>
      <c r="O67" s="20" t="n">
        <f aca="false">IF(O$5="",0,SUMPRODUCT((Plantillas!$A$2:$A$114=O$5)*(Plantillas!$D$2:$D$114=$A67)*(Plantillas!$G$2:$G$114*N(O$6)+Plantillas!$H$2:$H$114)))</f>
        <v>4.5</v>
      </c>
      <c r="P67" s="20" t="n">
        <f aca="false">IF(P$5="",0,SUMPRODUCT((Plantillas!$A$2:$A$114=P$5)*(Plantillas!$D$2:$D$114=$A67)*(Plantillas!$G$2:$G$114*N(P$6)+Plantillas!$H$2:$H$114)))</f>
        <v>0</v>
      </c>
      <c r="Q67" s="20" t="n">
        <f aca="false">IF(Q$5="",0,SUMPRODUCT((Plantillas!$A$2:$A$114=Q$5)*(Plantillas!$D$2:$D$114=$A67)*(Plantillas!$G$2:$G$114*N(Q$6)+Plantillas!$H$2:$H$114)))</f>
        <v>0</v>
      </c>
      <c r="R67" s="20" t="n">
        <f aca="false">IF(R$5="",0,SUMPRODUCT((Plantillas!$A$2:$A$114=R$5)*(Plantillas!$D$2:$D$114=$A67)*(Plantillas!$G$2:$G$114*N(R$6)+Plantillas!$H$2:$H$114)))</f>
        <v>0</v>
      </c>
      <c r="S67" s="20" t="n">
        <f aca="false">SUM(E67:R67)</f>
        <v>14</v>
      </c>
      <c r="T67" s="21" t="n">
        <f aca="false">IF(INDEX(Partidas!$F$2:$F$99,MATCH(A67,Partidas!$A$2:$A$99,0))="","",INDEX(Partidas!$F$2:$F$99,MATCH(A67,Partidas!$A$2:$A$99,0)))</f>
        <v>120</v>
      </c>
      <c r="U67" s="22" t="n">
        <f aca="false">IF(T67="",0,S67*T67)</f>
        <v>1680</v>
      </c>
    </row>
    <row r="68" customFormat="false" ht="15" hidden="false" customHeight="false" outlineLevel="0" collapsed="false">
      <c r="A68" s="0" t="s">
        <v>275</v>
      </c>
      <c r="B68" s="0" t="s">
        <v>55</v>
      </c>
      <c r="C68" s="9" t="str">
        <f aca="false">INDEX(Partidas!$D$2:$D$99,MATCH(A68,Partidas!$A$2:$A$99,0))</f>
        <v>Punto de desagüe</v>
      </c>
      <c r="D68" s="9" t="str">
        <f aca="false">INDEX(Partidas!$C$2:$C$99,MATCH(A68,Partidas!$A$2:$A$99,0))</f>
        <v>ud</v>
      </c>
      <c r="E68" s="20" t="n">
        <f aca="false">IF(E$5="",0,SUMPRODUCT((Plantillas!$A$2:$A$114=E$5)*(Plantillas!$D$2:$D$114=$A68)*(Plantillas!$G$2:$G$114*N(E$6)+Plantillas!$H$2:$H$114)))</f>
        <v>0</v>
      </c>
      <c r="F68" s="20" t="n">
        <f aca="false">IF(F$5="",0,SUMPRODUCT((Plantillas!$A$2:$A$114=F$5)*(Plantillas!$D$2:$D$114=$A68)*(Plantillas!$G$2:$G$114*N(F$6)+Plantillas!$H$2:$H$114)))</f>
        <v>0</v>
      </c>
      <c r="G68" s="20" t="n">
        <f aca="false">IF(G$5="",0,SUMPRODUCT((Plantillas!$A$2:$A$114=G$5)*(Plantillas!$D$2:$D$114=$A68)*(Plantillas!$G$2:$G$114*N(G$6)+Plantillas!$H$2:$H$114)))</f>
        <v>0</v>
      </c>
      <c r="H68" s="20" t="n">
        <f aca="false">IF(H$5="",0,SUMPRODUCT((Plantillas!$A$2:$A$114=H$5)*(Plantillas!$D$2:$D$114=$A68)*(Plantillas!$G$2:$G$114*N(H$6)+Plantillas!$H$2:$H$114)))</f>
        <v>0</v>
      </c>
      <c r="I68" s="20" t="n">
        <f aca="false">IF(I$5="",0,SUMPRODUCT((Plantillas!$A$2:$A$114=I$5)*(Plantillas!$D$2:$D$114=$A68)*(Plantillas!$G$2:$G$114*N(I$6)+Plantillas!$H$2:$H$114)))</f>
        <v>0</v>
      </c>
      <c r="J68" s="20" t="n">
        <f aca="false">IF(J$5="",0,SUMPRODUCT((Plantillas!$A$2:$A$114=J$5)*(Plantillas!$D$2:$D$114=$A68)*(Plantillas!$G$2:$G$114*N(J$6)+Plantillas!$H$2:$H$114)))</f>
        <v>0</v>
      </c>
      <c r="K68" s="20" t="n">
        <f aca="false">IF(K$5="",0,SUMPRODUCT((Plantillas!$A$2:$A$114=K$5)*(Plantillas!$D$2:$D$114=$A68)*(Plantillas!$G$2:$G$114*N(K$6)+Plantillas!$H$2:$H$114)))</f>
        <v>0</v>
      </c>
      <c r="L68" s="20" t="n">
        <f aca="false">IF(L$5="",0,SUMPRODUCT((Plantillas!$A$2:$A$114=L$5)*(Plantillas!$D$2:$D$114=$A68)*(Plantillas!$G$2:$G$114*N(L$6)+Plantillas!$H$2:$H$114)))</f>
        <v>2</v>
      </c>
      <c r="M68" s="20" t="n">
        <f aca="false">IF(M$5="",0,SUMPRODUCT((Plantillas!$A$2:$A$114=M$5)*(Plantillas!$D$2:$D$114=$A68)*(Plantillas!$G$2:$G$114*N(M$6)+Plantillas!$H$2:$H$114)))</f>
        <v>1</v>
      </c>
      <c r="N68" s="20" t="n">
        <f aca="false">IF(N$5="",0,SUMPRODUCT((Plantillas!$A$2:$A$114=N$5)*(Plantillas!$D$2:$D$114=$A68)*(Plantillas!$G$2:$G$114*N(N$6)+Plantillas!$H$2:$H$114)))</f>
        <v>3</v>
      </c>
      <c r="O68" s="20" t="n">
        <f aca="false">IF(O$5="",0,SUMPRODUCT((Plantillas!$A$2:$A$114=O$5)*(Plantillas!$D$2:$D$114=$A68)*(Plantillas!$G$2:$G$114*N(O$6)+Plantillas!$H$2:$H$114)))</f>
        <v>3</v>
      </c>
      <c r="P68" s="20" t="n">
        <f aca="false">IF(P$5="",0,SUMPRODUCT((Plantillas!$A$2:$A$114=P$5)*(Plantillas!$D$2:$D$114=$A68)*(Plantillas!$G$2:$G$114*N(P$6)+Plantillas!$H$2:$H$114)))</f>
        <v>0</v>
      </c>
      <c r="Q68" s="20" t="n">
        <f aca="false">IF(Q$5="",0,SUMPRODUCT((Plantillas!$A$2:$A$114=Q$5)*(Plantillas!$D$2:$D$114=$A68)*(Plantillas!$G$2:$G$114*N(Q$6)+Plantillas!$H$2:$H$114)))</f>
        <v>0</v>
      </c>
      <c r="R68" s="20" t="n">
        <f aca="false">IF(R$5="",0,SUMPRODUCT((Plantillas!$A$2:$A$114=R$5)*(Plantillas!$D$2:$D$114=$A68)*(Plantillas!$G$2:$G$114*N(R$6)+Plantillas!$H$2:$H$114)))</f>
        <v>0</v>
      </c>
      <c r="S68" s="20" t="n">
        <f aca="false">SUM(E68:R68)</f>
        <v>9</v>
      </c>
      <c r="T68" s="21" t="n">
        <f aca="false">IF(INDEX(Partidas!$F$2:$F$99,MATCH(A68,Partidas!$A$2:$A$99,0))="","",INDEX(Partidas!$F$2:$F$99,MATCH(A68,Partidas!$A$2:$A$99,0)))</f>
        <v>60</v>
      </c>
      <c r="U68" s="22" t="n">
        <f aca="false">IF(T68="",0,S68*T68)</f>
        <v>540</v>
      </c>
    </row>
    <row r="69" customFormat="false" ht="15" hidden="false" customHeight="false" outlineLevel="0" collapsed="false">
      <c r="A69" s="0" t="s">
        <v>279</v>
      </c>
      <c r="B69" s="0" t="s">
        <v>55</v>
      </c>
      <c r="C69" s="9" t="str">
        <f aca="false">INDEX(Partidas!$D$2:$D$99,MATCH(A69,Partidas!$A$2:$A$99,0))</f>
        <v>Bote sifónico</v>
      </c>
      <c r="D69" s="9" t="str">
        <f aca="false">INDEX(Partidas!$C$2:$C$99,MATCH(A69,Partidas!$A$2:$A$99,0))</f>
        <v>ud</v>
      </c>
      <c r="E69" s="20" t="n">
        <f aca="false">IF(E$5="",0,SUMPRODUCT((Plantillas!$A$2:$A$114=E$5)*(Plantillas!$D$2:$D$114=$A69)*(Plantillas!$G$2:$G$114*N(E$6)+Plantillas!$H$2:$H$114)))</f>
        <v>0</v>
      </c>
      <c r="F69" s="20" t="n">
        <f aca="false">IF(F$5="",0,SUMPRODUCT((Plantillas!$A$2:$A$114=F$5)*(Plantillas!$D$2:$D$114=$A69)*(Plantillas!$G$2:$G$114*N(F$6)+Plantillas!$H$2:$H$114)))</f>
        <v>0</v>
      </c>
      <c r="G69" s="20" t="n">
        <f aca="false">IF(G$5="",0,SUMPRODUCT((Plantillas!$A$2:$A$114=G$5)*(Plantillas!$D$2:$D$114=$A69)*(Plantillas!$G$2:$G$114*N(G$6)+Plantillas!$H$2:$H$114)))</f>
        <v>0</v>
      </c>
      <c r="H69" s="20" t="n">
        <f aca="false">IF(H$5="",0,SUMPRODUCT((Plantillas!$A$2:$A$114=H$5)*(Plantillas!$D$2:$D$114=$A69)*(Plantillas!$G$2:$G$114*N(H$6)+Plantillas!$H$2:$H$114)))</f>
        <v>0</v>
      </c>
      <c r="I69" s="20" t="n">
        <f aca="false">IF(I$5="",0,SUMPRODUCT((Plantillas!$A$2:$A$114=I$5)*(Plantillas!$D$2:$D$114=$A69)*(Plantillas!$G$2:$G$114*N(I$6)+Plantillas!$H$2:$H$114)))</f>
        <v>0</v>
      </c>
      <c r="J69" s="20" t="n">
        <f aca="false">IF(J$5="",0,SUMPRODUCT((Plantillas!$A$2:$A$114=J$5)*(Plantillas!$D$2:$D$114=$A69)*(Plantillas!$G$2:$G$114*N(J$6)+Plantillas!$H$2:$H$114)))</f>
        <v>0</v>
      </c>
      <c r="K69" s="20" t="n">
        <f aca="false">IF(K$5="",0,SUMPRODUCT((Plantillas!$A$2:$A$114=K$5)*(Plantillas!$D$2:$D$114=$A69)*(Plantillas!$G$2:$G$114*N(K$6)+Plantillas!$H$2:$H$114)))</f>
        <v>0</v>
      </c>
      <c r="L69" s="20" t="n">
        <f aca="false">IF(L$5="",0,SUMPRODUCT((Plantillas!$A$2:$A$114=L$5)*(Plantillas!$D$2:$D$114=$A69)*(Plantillas!$G$2:$G$114*N(L$6)+Plantillas!$H$2:$H$114)))</f>
        <v>0</v>
      </c>
      <c r="M69" s="20" t="n">
        <f aca="false">IF(M$5="",0,SUMPRODUCT((Plantillas!$A$2:$A$114=M$5)*(Plantillas!$D$2:$D$114=$A69)*(Plantillas!$G$2:$G$114*N(M$6)+Plantillas!$H$2:$H$114)))</f>
        <v>0</v>
      </c>
      <c r="N69" s="20" t="n">
        <f aca="false">IF(N$5="",0,SUMPRODUCT((Plantillas!$A$2:$A$114=N$5)*(Plantillas!$D$2:$D$114=$A69)*(Plantillas!$G$2:$G$114*N(N$6)+Plantillas!$H$2:$H$114)))</f>
        <v>1</v>
      </c>
      <c r="O69" s="20" t="n">
        <f aca="false">IF(O$5="",0,SUMPRODUCT((Plantillas!$A$2:$A$114=O$5)*(Plantillas!$D$2:$D$114=$A69)*(Plantillas!$G$2:$G$114*N(O$6)+Plantillas!$H$2:$H$114)))</f>
        <v>1</v>
      </c>
      <c r="P69" s="20" t="n">
        <f aca="false">IF(P$5="",0,SUMPRODUCT((Plantillas!$A$2:$A$114=P$5)*(Plantillas!$D$2:$D$114=$A69)*(Plantillas!$G$2:$G$114*N(P$6)+Plantillas!$H$2:$H$114)))</f>
        <v>0</v>
      </c>
      <c r="Q69" s="20" t="n">
        <f aca="false">IF(Q$5="",0,SUMPRODUCT((Plantillas!$A$2:$A$114=Q$5)*(Plantillas!$D$2:$D$114=$A69)*(Plantillas!$G$2:$G$114*N(Q$6)+Plantillas!$H$2:$H$114)))</f>
        <v>0</v>
      </c>
      <c r="R69" s="20" t="n">
        <f aca="false">IF(R$5="",0,SUMPRODUCT((Plantillas!$A$2:$A$114=R$5)*(Plantillas!$D$2:$D$114=$A69)*(Plantillas!$G$2:$G$114*N(R$6)+Plantillas!$H$2:$H$114)))</f>
        <v>0</v>
      </c>
      <c r="S69" s="20" t="n">
        <f aca="false">SUM(E69:R69)</f>
        <v>2</v>
      </c>
      <c r="T69" s="21" t="n">
        <f aca="false">IF(INDEX(Partidas!$F$2:$F$99,MATCH(A69,Partidas!$A$2:$A$99,0))="","",INDEX(Partidas!$F$2:$F$99,MATCH(A69,Partidas!$A$2:$A$99,0)))</f>
        <v>75</v>
      </c>
      <c r="U69" s="22" t="n">
        <f aca="false">IF(T69="",0,S69*T69)</f>
        <v>150</v>
      </c>
    </row>
    <row r="70" customFormat="false" ht="15" hidden="false" customHeight="false" outlineLevel="0" collapsed="false">
      <c r="A70" s="0" t="s">
        <v>283</v>
      </c>
      <c r="B70" s="0" t="s">
        <v>55</v>
      </c>
      <c r="C70" s="9" t="str">
        <f aca="false">INDEX(Partidas!$D$2:$D$99,MATCH(A70,Partidas!$A$2:$A$99,0))</f>
        <v>Llave de corte por estancia húmeda</v>
      </c>
      <c r="D70" s="9" t="str">
        <f aca="false">INDEX(Partidas!$C$2:$C$99,MATCH(A70,Partidas!$A$2:$A$99,0))</f>
        <v>ud</v>
      </c>
      <c r="E70" s="20" t="n">
        <f aca="false">IF(E$5="",0,SUMPRODUCT((Plantillas!$A$2:$A$114=E$5)*(Plantillas!$D$2:$D$114=$A70)*(Plantillas!$G$2:$G$114*N(E$6)+Plantillas!$H$2:$H$114)))</f>
        <v>0</v>
      </c>
      <c r="F70" s="20" t="n">
        <f aca="false">IF(F$5="",0,SUMPRODUCT((Plantillas!$A$2:$A$114=F$5)*(Plantillas!$D$2:$D$114=$A70)*(Plantillas!$G$2:$G$114*N(F$6)+Plantillas!$H$2:$H$114)))</f>
        <v>0</v>
      </c>
      <c r="G70" s="20" t="n">
        <f aca="false">IF(G$5="",0,SUMPRODUCT((Plantillas!$A$2:$A$114=G$5)*(Plantillas!$D$2:$D$114=$A70)*(Plantillas!$G$2:$G$114*N(G$6)+Plantillas!$H$2:$H$114)))</f>
        <v>0</v>
      </c>
      <c r="H70" s="20" t="n">
        <f aca="false">IF(H$5="",0,SUMPRODUCT((Plantillas!$A$2:$A$114=H$5)*(Plantillas!$D$2:$D$114=$A70)*(Plantillas!$G$2:$G$114*N(H$6)+Plantillas!$H$2:$H$114)))</f>
        <v>0</v>
      </c>
      <c r="I70" s="20" t="n">
        <f aca="false">IF(I$5="",0,SUMPRODUCT((Plantillas!$A$2:$A$114=I$5)*(Plantillas!$D$2:$D$114=$A70)*(Plantillas!$G$2:$G$114*N(I$6)+Plantillas!$H$2:$H$114)))</f>
        <v>0</v>
      </c>
      <c r="J70" s="20" t="n">
        <f aca="false">IF(J$5="",0,SUMPRODUCT((Plantillas!$A$2:$A$114=J$5)*(Plantillas!$D$2:$D$114=$A70)*(Plantillas!$G$2:$G$114*N(J$6)+Plantillas!$H$2:$H$114)))</f>
        <v>0</v>
      </c>
      <c r="K70" s="20" t="n">
        <f aca="false">IF(K$5="",0,SUMPRODUCT((Plantillas!$A$2:$A$114=K$5)*(Plantillas!$D$2:$D$114=$A70)*(Plantillas!$G$2:$G$114*N(K$6)+Plantillas!$H$2:$H$114)))</f>
        <v>0</v>
      </c>
      <c r="L70" s="20" t="n">
        <f aca="false">IF(L$5="",0,SUMPRODUCT((Plantillas!$A$2:$A$114=L$5)*(Plantillas!$D$2:$D$114=$A70)*(Plantillas!$G$2:$G$114*N(L$6)+Plantillas!$H$2:$H$114)))</f>
        <v>1</v>
      </c>
      <c r="M70" s="20" t="n">
        <f aca="false">IF(M$5="",0,SUMPRODUCT((Plantillas!$A$2:$A$114=M$5)*(Plantillas!$D$2:$D$114=$A70)*(Plantillas!$G$2:$G$114*N(M$6)+Plantillas!$H$2:$H$114)))</f>
        <v>0</v>
      </c>
      <c r="N70" s="20" t="n">
        <f aca="false">IF(N$5="",0,SUMPRODUCT((Plantillas!$A$2:$A$114=N$5)*(Plantillas!$D$2:$D$114=$A70)*(Plantillas!$G$2:$G$114*N(N$6)+Plantillas!$H$2:$H$114)))</f>
        <v>1</v>
      </c>
      <c r="O70" s="20" t="n">
        <f aca="false">IF(O$5="",0,SUMPRODUCT((Plantillas!$A$2:$A$114=O$5)*(Plantillas!$D$2:$D$114=$A70)*(Plantillas!$G$2:$G$114*N(O$6)+Plantillas!$H$2:$H$114)))</f>
        <v>1</v>
      </c>
      <c r="P70" s="20" t="n">
        <f aca="false">IF(P$5="",0,SUMPRODUCT((Plantillas!$A$2:$A$114=P$5)*(Plantillas!$D$2:$D$114=$A70)*(Plantillas!$G$2:$G$114*N(P$6)+Plantillas!$H$2:$H$114)))</f>
        <v>0</v>
      </c>
      <c r="Q70" s="20" t="n">
        <f aca="false">IF(Q$5="",0,SUMPRODUCT((Plantillas!$A$2:$A$114=Q$5)*(Plantillas!$D$2:$D$114=$A70)*(Plantillas!$G$2:$G$114*N(Q$6)+Plantillas!$H$2:$H$114)))</f>
        <v>0</v>
      </c>
      <c r="R70" s="20" t="n">
        <f aca="false">IF(R$5="",0,SUMPRODUCT((Plantillas!$A$2:$A$114=R$5)*(Plantillas!$D$2:$D$114=$A70)*(Plantillas!$G$2:$G$114*N(R$6)+Plantillas!$H$2:$H$114)))</f>
        <v>0</v>
      </c>
      <c r="S70" s="20" t="n">
        <f aca="false">SUM(E70:R70)</f>
        <v>3</v>
      </c>
      <c r="T70" s="21" t="str">
        <f aca="false">IF(INDEX(Partidas!$F$2:$F$99,MATCH(A70,Partidas!$A$2:$A$99,0))="","",INDEX(Partidas!$F$2:$F$99,MATCH(A70,Partidas!$A$2:$A$99,0)))</f>
        <v/>
      </c>
      <c r="U70" s="22" t="n">
        <f aca="false">IF(T70="",0,S70*T70)</f>
        <v>0</v>
      </c>
    </row>
    <row r="71" customFormat="false" ht="15" hidden="false" customHeight="false" outlineLevel="0" collapsed="false">
      <c r="A71" s="0" t="s">
        <v>286</v>
      </c>
      <c r="B71" s="0" t="s">
        <v>55</v>
      </c>
      <c r="C71" s="9" t="str">
        <f aca="false">INDEX(Partidas!$D$2:$D$99,MATCH(A71,Partidas!$A$2:$A$99,0))</f>
        <v>Pruebas de presión y estanqueidad</v>
      </c>
      <c r="D71" s="9" t="str">
        <f aca="false">INDEX(Partidas!$C$2:$C$99,MATCH(A71,Partidas!$A$2:$A$99,0))</f>
        <v>pa</v>
      </c>
      <c r="E71" s="20" t="n">
        <f aca="false">IF(E$5="",0,SUMPRODUCT((Plantillas!$A$2:$A$114=E$5)*(Plantillas!$D$2:$D$114=$A71)*(Plantillas!$G$2:$G$114*N(E$6)+Plantillas!$H$2:$H$114)))</f>
        <v>0</v>
      </c>
      <c r="F71" s="20" t="n">
        <f aca="false">IF(F$5="",0,SUMPRODUCT((Plantillas!$A$2:$A$114=F$5)*(Plantillas!$D$2:$D$114=$A71)*(Plantillas!$G$2:$G$114*N(F$6)+Plantillas!$H$2:$H$114)))</f>
        <v>0</v>
      </c>
      <c r="G71" s="20" t="n">
        <f aca="false">IF(G$5="",0,SUMPRODUCT((Plantillas!$A$2:$A$114=G$5)*(Plantillas!$D$2:$D$114=$A71)*(Plantillas!$G$2:$G$114*N(G$6)+Plantillas!$H$2:$H$114)))</f>
        <v>0</v>
      </c>
      <c r="H71" s="20" t="n">
        <f aca="false">IF(H$5="",0,SUMPRODUCT((Plantillas!$A$2:$A$114=H$5)*(Plantillas!$D$2:$D$114=$A71)*(Plantillas!$G$2:$G$114*N(H$6)+Plantillas!$H$2:$H$114)))</f>
        <v>0</v>
      </c>
      <c r="I71" s="20" t="n">
        <f aca="false">IF(I$5="",0,SUMPRODUCT((Plantillas!$A$2:$A$114=I$5)*(Plantillas!$D$2:$D$114=$A71)*(Plantillas!$G$2:$G$114*N(I$6)+Plantillas!$H$2:$H$114)))</f>
        <v>0</v>
      </c>
      <c r="J71" s="20" t="n">
        <f aca="false">IF(J$5="",0,SUMPRODUCT((Plantillas!$A$2:$A$114=J$5)*(Plantillas!$D$2:$D$114=$A71)*(Plantillas!$G$2:$G$114*N(J$6)+Plantillas!$H$2:$H$114)))</f>
        <v>0</v>
      </c>
      <c r="K71" s="20" t="n">
        <f aca="false">IF(K$5="",0,SUMPRODUCT((Plantillas!$A$2:$A$114=K$5)*(Plantillas!$D$2:$D$114=$A71)*(Plantillas!$G$2:$G$114*N(K$6)+Plantillas!$H$2:$H$114)))</f>
        <v>0</v>
      </c>
      <c r="L71" s="20" t="n">
        <f aca="false">IF(L$5="",0,SUMPRODUCT((Plantillas!$A$2:$A$114=L$5)*(Plantillas!$D$2:$D$114=$A71)*(Plantillas!$G$2:$G$114*N(L$6)+Plantillas!$H$2:$H$114)))</f>
        <v>0</v>
      </c>
      <c r="M71" s="20" t="n">
        <f aca="false">IF(M$5="",0,SUMPRODUCT((Plantillas!$A$2:$A$114=M$5)*(Plantillas!$D$2:$D$114=$A71)*(Plantillas!$G$2:$G$114*N(M$6)+Plantillas!$H$2:$H$114)))</f>
        <v>0</v>
      </c>
      <c r="N71" s="20" t="n">
        <f aca="false">IF(N$5="",0,SUMPRODUCT((Plantillas!$A$2:$A$114=N$5)*(Plantillas!$D$2:$D$114=$A71)*(Plantillas!$G$2:$G$114*N(N$6)+Plantillas!$H$2:$H$114)))</f>
        <v>0</v>
      </c>
      <c r="O71" s="20" t="n">
        <f aca="false">IF(O$5="",0,SUMPRODUCT((Plantillas!$A$2:$A$114=O$5)*(Plantillas!$D$2:$D$114=$A71)*(Plantillas!$G$2:$G$114*N(O$6)+Plantillas!$H$2:$H$114)))</f>
        <v>0</v>
      </c>
      <c r="P71" s="20" t="n">
        <f aca="false">IF(P$5="",0,SUMPRODUCT((Plantillas!$A$2:$A$114=P$5)*(Plantillas!$D$2:$D$114=$A71)*(Plantillas!$G$2:$G$114*N(P$6)+Plantillas!$H$2:$H$114)))</f>
        <v>0</v>
      </c>
      <c r="Q71" s="20" t="n">
        <f aca="false">IF(Q$5="",0,SUMPRODUCT((Plantillas!$A$2:$A$114=Q$5)*(Plantillas!$D$2:$D$114=$A71)*(Plantillas!$G$2:$G$114*N(Q$6)+Plantillas!$H$2:$H$114)))</f>
        <v>0</v>
      </c>
      <c r="R71" s="20" t="n">
        <f aca="false">IF(R$5="",0,SUMPRODUCT((Plantillas!$A$2:$A$114=R$5)*(Plantillas!$D$2:$D$114=$A71)*(Plantillas!$G$2:$G$114*N(R$6)+Plantillas!$H$2:$H$114)))</f>
        <v>0</v>
      </c>
      <c r="S71" s="20" t="n">
        <f aca="false">SUM(E71:R71)</f>
        <v>0</v>
      </c>
      <c r="T71" s="21" t="str">
        <f aca="false">IF(INDEX(Partidas!$F$2:$F$99,MATCH(A71,Partidas!$A$2:$A$99,0))="","",INDEX(Partidas!$F$2:$F$99,MATCH(A71,Partidas!$A$2:$A$99,0)))</f>
        <v/>
      </c>
      <c r="U71" s="22" t="n">
        <f aca="false">IF(T71="",0,S71*T71)</f>
        <v>0</v>
      </c>
    </row>
    <row r="72" customFormat="false" ht="15" hidden="false" customHeight="false" outlineLevel="0" collapsed="false">
      <c r="A72" s="17" t="s">
        <v>58</v>
      </c>
      <c r="B72" s="18"/>
      <c r="C72" s="17" t="s">
        <v>59</v>
      </c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9" t="n">
        <f aca="false">SUM(U73:U84)</f>
        <v>6292</v>
      </c>
    </row>
    <row r="73" customFormat="false" ht="15" hidden="false" customHeight="false" outlineLevel="0" collapsed="false">
      <c r="A73" s="0" t="s">
        <v>289</v>
      </c>
      <c r="B73" s="0" t="s">
        <v>58</v>
      </c>
      <c r="C73" s="9" t="str">
        <f aca="false">INDEX(Partidas!$D$2:$D$99,MATCH(A73,Partidas!$A$2:$A$99,0))</f>
        <v>Plato de ducha</v>
      </c>
      <c r="D73" s="9" t="str">
        <f aca="false">INDEX(Partidas!$C$2:$C$99,MATCH(A73,Partidas!$A$2:$A$99,0))</f>
        <v>ud</v>
      </c>
      <c r="E73" s="20" t="n">
        <f aca="false">IF(E$5="",0,SUMPRODUCT((Plantillas!$A$2:$A$114=E$5)*(Plantillas!$D$2:$D$114=$A73)*(Plantillas!$G$2:$G$114*N(E$6)+Plantillas!$H$2:$H$114)))</f>
        <v>0</v>
      </c>
      <c r="F73" s="20" t="n">
        <f aca="false">IF(F$5="",0,SUMPRODUCT((Plantillas!$A$2:$A$114=F$5)*(Plantillas!$D$2:$D$114=$A73)*(Plantillas!$G$2:$G$114*N(F$6)+Plantillas!$H$2:$H$114)))</f>
        <v>0</v>
      </c>
      <c r="G73" s="20" t="n">
        <f aca="false">IF(G$5="",0,SUMPRODUCT((Plantillas!$A$2:$A$114=G$5)*(Plantillas!$D$2:$D$114=$A73)*(Plantillas!$G$2:$G$114*N(G$6)+Plantillas!$H$2:$H$114)))</f>
        <v>0</v>
      </c>
      <c r="H73" s="20" t="n">
        <f aca="false">IF(H$5="",0,SUMPRODUCT((Plantillas!$A$2:$A$114=H$5)*(Plantillas!$D$2:$D$114=$A73)*(Plantillas!$G$2:$G$114*N(H$6)+Plantillas!$H$2:$H$114)))</f>
        <v>0</v>
      </c>
      <c r="I73" s="20" t="n">
        <f aca="false">IF(I$5="",0,SUMPRODUCT((Plantillas!$A$2:$A$114=I$5)*(Plantillas!$D$2:$D$114=$A73)*(Plantillas!$G$2:$G$114*N(I$6)+Plantillas!$H$2:$H$114)))</f>
        <v>0</v>
      </c>
      <c r="J73" s="20" t="n">
        <f aca="false">IF(J$5="",0,SUMPRODUCT((Plantillas!$A$2:$A$114=J$5)*(Plantillas!$D$2:$D$114=$A73)*(Plantillas!$G$2:$G$114*N(J$6)+Plantillas!$H$2:$H$114)))</f>
        <v>0</v>
      </c>
      <c r="K73" s="20" t="n">
        <f aca="false">IF(K$5="",0,SUMPRODUCT((Plantillas!$A$2:$A$114=K$5)*(Plantillas!$D$2:$D$114=$A73)*(Plantillas!$G$2:$G$114*N(K$6)+Plantillas!$H$2:$H$114)))</f>
        <v>0</v>
      </c>
      <c r="L73" s="20" t="n">
        <f aca="false">IF(L$5="",0,SUMPRODUCT((Plantillas!$A$2:$A$114=L$5)*(Plantillas!$D$2:$D$114=$A73)*(Plantillas!$G$2:$G$114*N(L$6)+Plantillas!$H$2:$H$114)))</f>
        <v>0</v>
      </c>
      <c r="M73" s="20" t="n">
        <f aca="false">IF(M$5="",0,SUMPRODUCT((Plantillas!$A$2:$A$114=M$5)*(Plantillas!$D$2:$D$114=$A73)*(Plantillas!$G$2:$G$114*N(M$6)+Plantillas!$H$2:$H$114)))</f>
        <v>0</v>
      </c>
      <c r="N73" s="20" t="n">
        <f aca="false">IF(N$5="",0,SUMPRODUCT((Plantillas!$A$2:$A$114=N$5)*(Plantillas!$D$2:$D$114=$A73)*(Plantillas!$G$2:$G$114*N(N$6)+Plantillas!$H$2:$H$114)))</f>
        <v>1</v>
      </c>
      <c r="O73" s="20" t="n">
        <f aca="false">IF(O$5="",0,SUMPRODUCT((Plantillas!$A$2:$A$114=O$5)*(Plantillas!$D$2:$D$114=$A73)*(Plantillas!$G$2:$G$114*N(O$6)+Plantillas!$H$2:$H$114)))</f>
        <v>1</v>
      </c>
      <c r="P73" s="20" t="n">
        <f aca="false">IF(P$5="",0,SUMPRODUCT((Plantillas!$A$2:$A$114=P$5)*(Plantillas!$D$2:$D$114=$A73)*(Plantillas!$G$2:$G$114*N(P$6)+Plantillas!$H$2:$H$114)))</f>
        <v>0</v>
      </c>
      <c r="Q73" s="20" t="n">
        <f aca="false">IF(Q$5="",0,SUMPRODUCT((Plantillas!$A$2:$A$114=Q$5)*(Plantillas!$D$2:$D$114=$A73)*(Plantillas!$G$2:$G$114*N(Q$6)+Plantillas!$H$2:$H$114)))</f>
        <v>0</v>
      </c>
      <c r="R73" s="20" t="n">
        <f aca="false">IF(R$5="",0,SUMPRODUCT((Plantillas!$A$2:$A$114=R$5)*(Plantillas!$D$2:$D$114=$A73)*(Plantillas!$G$2:$G$114*N(R$6)+Plantillas!$H$2:$H$114)))</f>
        <v>0</v>
      </c>
      <c r="S73" s="20" t="n">
        <f aca="false">SUM(E73:R73)</f>
        <v>2</v>
      </c>
      <c r="T73" s="21" t="n">
        <f aca="false">IF(INDEX(Partidas!$F$2:$F$99,MATCH(A73,Partidas!$A$2:$A$99,0))="","",INDEX(Partidas!$F$2:$F$99,MATCH(A73,Partidas!$A$2:$A$99,0)))</f>
        <v>640</v>
      </c>
      <c r="U73" s="22" t="n">
        <f aca="false">IF(T73="",0,S73*T73)</f>
        <v>1280</v>
      </c>
    </row>
    <row r="74" customFormat="false" ht="15" hidden="false" customHeight="false" outlineLevel="0" collapsed="false">
      <c r="A74" s="0" t="s">
        <v>293</v>
      </c>
      <c r="B74" s="0" t="s">
        <v>58</v>
      </c>
      <c r="C74" s="9" t="str">
        <f aca="false">INDEX(Partidas!$D$2:$D$99,MATCH(A74,Partidas!$A$2:$A$99,0))</f>
        <v>Bañera</v>
      </c>
      <c r="D74" s="9" t="str">
        <f aca="false">INDEX(Partidas!$C$2:$C$99,MATCH(A74,Partidas!$A$2:$A$99,0))</f>
        <v>ud</v>
      </c>
      <c r="E74" s="20" t="n">
        <f aca="false">IF(E$5="",0,SUMPRODUCT((Plantillas!$A$2:$A$114=E$5)*(Plantillas!$D$2:$D$114=$A74)*(Plantillas!$G$2:$G$114*N(E$6)+Plantillas!$H$2:$H$114)))</f>
        <v>0</v>
      </c>
      <c r="F74" s="20" t="n">
        <f aca="false">IF(F$5="",0,SUMPRODUCT((Plantillas!$A$2:$A$114=F$5)*(Plantillas!$D$2:$D$114=$A74)*(Plantillas!$G$2:$G$114*N(F$6)+Plantillas!$H$2:$H$114)))</f>
        <v>0</v>
      </c>
      <c r="G74" s="20" t="n">
        <f aca="false">IF(G$5="",0,SUMPRODUCT((Plantillas!$A$2:$A$114=G$5)*(Plantillas!$D$2:$D$114=$A74)*(Plantillas!$G$2:$G$114*N(G$6)+Plantillas!$H$2:$H$114)))</f>
        <v>0</v>
      </c>
      <c r="H74" s="20" t="n">
        <f aca="false">IF(H$5="",0,SUMPRODUCT((Plantillas!$A$2:$A$114=H$5)*(Plantillas!$D$2:$D$114=$A74)*(Plantillas!$G$2:$G$114*N(H$6)+Plantillas!$H$2:$H$114)))</f>
        <v>0</v>
      </c>
      <c r="I74" s="20" t="n">
        <f aca="false">IF(I$5="",0,SUMPRODUCT((Plantillas!$A$2:$A$114=I$5)*(Plantillas!$D$2:$D$114=$A74)*(Plantillas!$G$2:$G$114*N(I$6)+Plantillas!$H$2:$H$114)))</f>
        <v>0</v>
      </c>
      <c r="J74" s="20" t="n">
        <f aca="false">IF(J$5="",0,SUMPRODUCT((Plantillas!$A$2:$A$114=J$5)*(Plantillas!$D$2:$D$114=$A74)*(Plantillas!$G$2:$G$114*N(J$6)+Plantillas!$H$2:$H$114)))</f>
        <v>0</v>
      </c>
      <c r="K74" s="20" t="n">
        <f aca="false">IF(K$5="",0,SUMPRODUCT((Plantillas!$A$2:$A$114=K$5)*(Plantillas!$D$2:$D$114=$A74)*(Plantillas!$G$2:$G$114*N(K$6)+Plantillas!$H$2:$H$114)))</f>
        <v>0</v>
      </c>
      <c r="L74" s="20" t="n">
        <f aca="false">IF(L$5="",0,SUMPRODUCT((Plantillas!$A$2:$A$114=L$5)*(Plantillas!$D$2:$D$114=$A74)*(Plantillas!$G$2:$G$114*N(L$6)+Plantillas!$H$2:$H$114)))</f>
        <v>0</v>
      </c>
      <c r="M74" s="20" t="n">
        <f aca="false">IF(M$5="",0,SUMPRODUCT((Plantillas!$A$2:$A$114=M$5)*(Plantillas!$D$2:$D$114=$A74)*(Plantillas!$G$2:$G$114*N(M$6)+Plantillas!$H$2:$H$114)))</f>
        <v>0</v>
      </c>
      <c r="N74" s="20" t="n">
        <f aca="false">IF(N$5="",0,SUMPRODUCT((Plantillas!$A$2:$A$114=N$5)*(Plantillas!$D$2:$D$114=$A74)*(Plantillas!$G$2:$G$114*N(N$6)+Plantillas!$H$2:$H$114)))</f>
        <v>0</v>
      </c>
      <c r="O74" s="20" t="n">
        <f aca="false">IF(O$5="",0,SUMPRODUCT((Plantillas!$A$2:$A$114=O$5)*(Plantillas!$D$2:$D$114=$A74)*(Plantillas!$G$2:$G$114*N(O$6)+Plantillas!$H$2:$H$114)))</f>
        <v>0</v>
      </c>
      <c r="P74" s="20" t="n">
        <f aca="false">IF(P$5="",0,SUMPRODUCT((Plantillas!$A$2:$A$114=P$5)*(Plantillas!$D$2:$D$114=$A74)*(Plantillas!$G$2:$G$114*N(P$6)+Plantillas!$H$2:$H$114)))</f>
        <v>0</v>
      </c>
      <c r="Q74" s="20" t="n">
        <f aca="false">IF(Q$5="",0,SUMPRODUCT((Plantillas!$A$2:$A$114=Q$5)*(Plantillas!$D$2:$D$114=$A74)*(Plantillas!$G$2:$G$114*N(Q$6)+Plantillas!$H$2:$H$114)))</f>
        <v>0</v>
      </c>
      <c r="R74" s="20" t="n">
        <f aca="false">IF(R$5="",0,SUMPRODUCT((Plantillas!$A$2:$A$114=R$5)*(Plantillas!$D$2:$D$114=$A74)*(Plantillas!$G$2:$G$114*N(R$6)+Plantillas!$H$2:$H$114)))</f>
        <v>0</v>
      </c>
      <c r="S74" s="20" t="n">
        <f aca="false">SUM(E74:R74)</f>
        <v>0</v>
      </c>
      <c r="T74" s="21" t="n">
        <f aca="false">IF(INDEX(Partidas!$F$2:$F$99,MATCH(A74,Partidas!$A$2:$A$99,0))="","",INDEX(Partidas!$F$2:$F$99,MATCH(A74,Partidas!$A$2:$A$99,0)))</f>
        <v>850</v>
      </c>
      <c r="U74" s="22" t="n">
        <f aca="false">IF(T74="",0,S74*T74)</f>
        <v>0</v>
      </c>
    </row>
    <row r="75" customFormat="false" ht="15" hidden="false" customHeight="false" outlineLevel="0" collapsed="false">
      <c r="A75" s="0" t="s">
        <v>297</v>
      </c>
      <c r="B75" s="0" t="s">
        <v>58</v>
      </c>
      <c r="C75" s="9" t="str">
        <f aca="false">INDEX(Partidas!$D$2:$D$99,MATCH(A75,Partidas!$A$2:$A$99,0))</f>
        <v>Inodoro suspendido con bastidor</v>
      </c>
      <c r="D75" s="9" t="str">
        <f aca="false">INDEX(Partidas!$C$2:$C$99,MATCH(A75,Partidas!$A$2:$A$99,0))</f>
        <v>ud</v>
      </c>
      <c r="E75" s="20" t="n">
        <f aca="false">IF(E$5="",0,SUMPRODUCT((Plantillas!$A$2:$A$114=E$5)*(Plantillas!$D$2:$D$114=$A75)*(Plantillas!$G$2:$G$114*N(E$6)+Plantillas!$H$2:$H$114)))</f>
        <v>0</v>
      </c>
      <c r="F75" s="20" t="n">
        <f aca="false">IF(F$5="",0,SUMPRODUCT((Plantillas!$A$2:$A$114=F$5)*(Plantillas!$D$2:$D$114=$A75)*(Plantillas!$G$2:$G$114*N(F$6)+Plantillas!$H$2:$H$114)))</f>
        <v>0</v>
      </c>
      <c r="G75" s="20" t="n">
        <f aca="false">IF(G$5="",0,SUMPRODUCT((Plantillas!$A$2:$A$114=G$5)*(Plantillas!$D$2:$D$114=$A75)*(Plantillas!$G$2:$G$114*N(G$6)+Plantillas!$H$2:$H$114)))</f>
        <v>0</v>
      </c>
      <c r="H75" s="20" t="n">
        <f aca="false">IF(H$5="",0,SUMPRODUCT((Plantillas!$A$2:$A$114=H$5)*(Plantillas!$D$2:$D$114=$A75)*(Plantillas!$G$2:$G$114*N(H$6)+Plantillas!$H$2:$H$114)))</f>
        <v>0</v>
      </c>
      <c r="I75" s="20" t="n">
        <f aca="false">IF(I$5="",0,SUMPRODUCT((Plantillas!$A$2:$A$114=I$5)*(Plantillas!$D$2:$D$114=$A75)*(Plantillas!$G$2:$G$114*N(I$6)+Plantillas!$H$2:$H$114)))</f>
        <v>0</v>
      </c>
      <c r="J75" s="20" t="n">
        <f aca="false">IF(J$5="",0,SUMPRODUCT((Plantillas!$A$2:$A$114=J$5)*(Plantillas!$D$2:$D$114=$A75)*(Plantillas!$G$2:$G$114*N(J$6)+Plantillas!$H$2:$H$114)))</f>
        <v>0</v>
      </c>
      <c r="K75" s="20" t="n">
        <f aca="false">IF(K$5="",0,SUMPRODUCT((Plantillas!$A$2:$A$114=K$5)*(Plantillas!$D$2:$D$114=$A75)*(Plantillas!$G$2:$G$114*N(K$6)+Plantillas!$H$2:$H$114)))</f>
        <v>0</v>
      </c>
      <c r="L75" s="20" t="n">
        <f aca="false">IF(L$5="",0,SUMPRODUCT((Plantillas!$A$2:$A$114=L$5)*(Plantillas!$D$2:$D$114=$A75)*(Plantillas!$G$2:$G$114*N(L$6)+Plantillas!$H$2:$H$114)))</f>
        <v>0</v>
      </c>
      <c r="M75" s="20" t="n">
        <f aca="false">IF(M$5="",0,SUMPRODUCT((Plantillas!$A$2:$A$114=M$5)*(Plantillas!$D$2:$D$114=$A75)*(Plantillas!$G$2:$G$114*N(M$6)+Plantillas!$H$2:$H$114)))</f>
        <v>0</v>
      </c>
      <c r="N75" s="20" t="n">
        <f aca="false">IF(N$5="",0,SUMPRODUCT((Plantillas!$A$2:$A$114=N$5)*(Plantillas!$D$2:$D$114=$A75)*(Plantillas!$G$2:$G$114*N(N$6)+Plantillas!$H$2:$H$114)))</f>
        <v>1</v>
      </c>
      <c r="O75" s="20" t="n">
        <f aca="false">IF(O$5="",0,SUMPRODUCT((Plantillas!$A$2:$A$114=O$5)*(Plantillas!$D$2:$D$114=$A75)*(Plantillas!$G$2:$G$114*N(O$6)+Plantillas!$H$2:$H$114)))</f>
        <v>1</v>
      </c>
      <c r="P75" s="20" t="n">
        <f aca="false">IF(P$5="",0,SUMPRODUCT((Plantillas!$A$2:$A$114=P$5)*(Plantillas!$D$2:$D$114=$A75)*(Plantillas!$G$2:$G$114*N(P$6)+Plantillas!$H$2:$H$114)))</f>
        <v>0</v>
      </c>
      <c r="Q75" s="20" t="n">
        <f aca="false">IF(Q$5="",0,SUMPRODUCT((Plantillas!$A$2:$A$114=Q$5)*(Plantillas!$D$2:$D$114=$A75)*(Plantillas!$G$2:$G$114*N(Q$6)+Plantillas!$H$2:$H$114)))</f>
        <v>0</v>
      </c>
      <c r="R75" s="20" t="n">
        <f aca="false">IF(R$5="",0,SUMPRODUCT((Plantillas!$A$2:$A$114=R$5)*(Plantillas!$D$2:$D$114=$A75)*(Plantillas!$G$2:$G$114*N(R$6)+Plantillas!$H$2:$H$114)))</f>
        <v>0</v>
      </c>
      <c r="S75" s="20" t="n">
        <f aca="false">SUM(E75:R75)</f>
        <v>2</v>
      </c>
      <c r="T75" s="21" t="n">
        <f aca="false">IF(INDEX(Partidas!$F$2:$F$99,MATCH(A75,Partidas!$A$2:$A$99,0))="","",INDEX(Partidas!$F$2:$F$99,MATCH(A75,Partidas!$A$2:$A$99,0)))</f>
        <v>850</v>
      </c>
      <c r="U75" s="22" t="n">
        <f aca="false">IF(T75="",0,S75*T75)</f>
        <v>1700</v>
      </c>
    </row>
    <row r="76" customFormat="false" ht="15" hidden="false" customHeight="false" outlineLevel="0" collapsed="false">
      <c r="A76" s="0" t="s">
        <v>301</v>
      </c>
      <c r="B76" s="0" t="s">
        <v>58</v>
      </c>
      <c r="C76" s="9" t="str">
        <f aca="false">INDEX(Partidas!$D$2:$D$99,MATCH(A76,Partidas!$A$2:$A$99,0))</f>
        <v>Mueble de baño con lavabo</v>
      </c>
      <c r="D76" s="9" t="str">
        <f aca="false">INDEX(Partidas!$C$2:$C$99,MATCH(A76,Partidas!$A$2:$A$99,0))</f>
        <v>ud</v>
      </c>
      <c r="E76" s="20" t="n">
        <f aca="false">IF(E$5="",0,SUMPRODUCT((Plantillas!$A$2:$A$114=E$5)*(Plantillas!$D$2:$D$114=$A76)*(Plantillas!$G$2:$G$114*N(E$6)+Plantillas!$H$2:$H$114)))</f>
        <v>0</v>
      </c>
      <c r="F76" s="20" t="n">
        <f aca="false">IF(F$5="",0,SUMPRODUCT((Plantillas!$A$2:$A$114=F$5)*(Plantillas!$D$2:$D$114=$A76)*(Plantillas!$G$2:$G$114*N(F$6)+Plantillas!$H$2:$H$114)))</f>
        <v>0</v>
      </c>
      <c r="G76" s="20" t="n">
        <f aca="false">IF(G$5="",0,SUMPRODUCT((Plantillas!$A$2:$A$114=G$5)*(Plantillas!$D$2:$D$114=$A76)*(Plantillas!$G$2:$G$114*N(G$6)+Plantillas!$H$2:$H$114)))</f>
        <v>0</v>
      </c>
      <c r="H76" s="20" t="n">
        <f aca="false">IF(H$5="",0,SUMPRODUCT((Plantillas!$A$2:$A$114=H$5)*(Plantillas!$D$2:$D$114=$A76)*(Plantillas!$G$2:$G$114*N(H$6)+Plantillas!$H$2:$H$114)))</f>
        <v>0</v>
      </c>
      <c r="I76" s="20" t="n">
        <f aca="false">IF(I$5="",0,SUMPRODUCT((Plantillas!$A$2:$A$114=I$5)*(Plantillas!$D$2:$D$114=$A76)*(Plantillas!$G$2:$G$114*N(I$6)+Plantillas!$H$2:$H$114)))</f>
        <v>0</v>
      </c>
      <c r="J76" s="20" t="n">
        <f aca="false">IF(J$5="",0,SUMPRODUCT((Plantillas!$A$2:$A$114=J$5)*(Plantillas!$D$2:$D$114=$A76)*(Plantillas!$G$2:$G$114*N(J$6)+Plantillas!$H$2:$H$114)))</f>
        <v>0</v>
      </c>
      <c r="K76" s="20" t="n">
        <f aca="false">IF(K$5="",0,SUMPRODUCT((Plantillas!$A$2:$A$114=K$5)*(Plantillas!$D$2:$D$114=$A76)*(Plantillas!$G$2:$G$114*N(K$6)+Plantillas!$H$2:$H$114)))</f>
        <v>0</v>
      </c>
      <c r="L76" s="20" t="n">
        <f aca="false">IF(L$5="",0,SUMPRODUCT((Plantillas!$A$2:$A$114=L$5)*(Plantillas!$D$2:$D$114=$A76)*(Plantillas!$G$2:$G$114*N(L$6)+Plantillas!$H$2:$H$114)))</f>
        <v>0</v>
      </c>
      <c r="M76" s="20" t="n">
        <f aca="false">IF(M$5="",0,SUMPRODUCT((Plantillas!$A$2:$A$114=M$5)*(Plantillas!$D$2:$D$114=$A76)*(Plantillas!$G$2:$G$114*N(M$6)+Plantillas!$H$2:$H$114)))</f>
        <v>0</v>
      </c>
      <c r="N76" s="20" t="n">
        <f aca="false">IF(N$5="",0,SUMPRODUCT((Plantillas!$A$2:$A$114=N$5)*(Plantillas!$D$2:$D$114=$A76)*(Plantillas!$G$2:$G$114*N(N$6)+Plantillas!$H$2:$H$114)))</f>
        <v>1</v>
      </c>
      <c r="O76" s="20" t="n">
        <f aca="false">IF(O$5="",0,SUMPRODUCT((Plantillas!$A$2:$A$114=O$5)*(Plantillas!$D$2:$D$114=$A76)*(Plantillas!$G$2:$G$114*N(O$6)+Plantillas!$H$2:$H$114)))</f>
        <v>1</v>
      </c>
      <c r="P76" s="20" t="n">
        <f aca="false">IF(P$5="",0,SUMPRODUCT((Plantillas!$A$2:$A$114=P$5)*(Plantillas!$D$2:$D$114=$A76)*(Plantillas!$G$2:$G$114*N(P$6)+Plantillas!$H$2:$H$114)))</f>
        <v>0</v>
      </c>
      <c r="Q76" s="20" t="n">
        <f aca="false">IF(Q$5="",0,SUMPRODUCT((Plantillas!$A$2:$A$114=Q$5)*(Plantillas!$D$2:$D$114=$A76)*(Plantillas!$G$2:$G$114*N(Q$6)+Plantillas!$H$2:$H$114)))</f>
        <v>0</v>
      </c>
      <c r="R76" s="20" t="n">
        <f aca="false">IF(R$5="",0,SUMPRODUCT((Plantillas!$A$2:$A$114=R$5)*(Plantillas!$D$2:$D$114=$A76)*(Plantillas!$G$2:$G$114*N(R$6)+Plantillas!$H$2:$H$114)))</f>
        <v>0</v>
      </c>
      <c r="S76" s="20" t="n">
        <f aca="false">SUM(E76:R76)</f>
        <v>2</v>
      </c>
      <c r="T76" s="21" t="n">
        <f aca="false">IF(INDEX(Partidas!$F$2:$F$99,MATCH(A76,Partidas!$A$2:$A$99,0))="","",INDEX(Partidas!$F$2:$F$99,MATCH(A76,Partidas!$A$2:$A$99,0)))</f>
        <v>420</v>
      </c>
      <c r="U76" s="22" t="n">
        <f aca="false">IF(T76="",0,S76*T76)</f>
        <v>840</v>
      </c>
    </row>
    <row r="77" customFormat="false" ht="15" hidden="false" customHeight="false" outlineLevel="0" collapsed="false">
      <c r="A77" s="0" t="s">
        <v>305</v>
      </c>
      <c r="B77" s="0" t="s">
        <v>58</v>
      </c>
      <c r="C77" s="9" t="str">
        <f aca="false">INDEX(Partidas!$D$2:$D$99,MATCH(A77,Partidas!$A$2:$A$99,0))</f>
        <v>Grifería de lavabo</v>
      </c>
      <c r="D77" s="9" t="str">
        <f aca="false">INDEX(Partidas!$C$2:$C$99,MATCH(A77,Partidas!$A$2:$A$99,0))</f>
        <v>ud</v>
      </c>
      <c r="E77" s="20" t="n">
        <f aca="false">IF(E$5="",0,SUMPRODUCT((Plantillas!$A$2:$A$114=E$5)*(Plantillas!$D$2:$D$114=$A77)*(Plantillas!$G$2:$G$114*N(E$6)+Plantillas!$H$2:$H$114)))</f>
        <v>0</v>
      </c>
      <c r="F77" s="20" t="n">
        <f aca="false">IF(F$5="",0,SUMPRODUCT((Plantillas!$A$2:$A$114=F$5)*(Plantillas!$D$2:$D$114=$A77)*(Plantillas!$G$2:$G$114*N(F$6)+Plantillas!$H$2:$H$114)))</f>
        <v>0</v>
      </c>
      <c r="G77" s="20" t="n">
        <f aca="false">IF(G$5="",0,SUMPRODUCT((Plantillas!$A$2:$A$114=G$5)*(Plantillas!$D$2:$D$114=$A77)*(Plantillas!$G$2:$G$114*N(G$6)+Plantillas!$H$2:$H$114)))</f>
        <v>0</v>
      </c>
      <c r="H77" s="20" t="n">
        <f aca="false">IF(H$5="",0,SUMPRODUCT((Plantillas!$A$2:$A$114=H$5)*(Plantillas!$D$2:$D$114=$A77)*(Plantillas!$G$2:$G$114*N(H$6)+Plantillas!$H$2:$H$114)))</f>
        <v>0</v>
      </c>
      <c r="I77" s="20" t="n">
        <f aca="false">IF(I$5="",0,SUMPRODUCT((Plantillas!$A$2:$A$114=I$5)*(Plantillas!$D$2:$D$114=$A77)*(Plantillas!$G$2:$G$114*N(I$6)+Plantillas!$H$2:$H$114)))</f>
        <v>0</v>
      </c>
      <c r="J77" s="20" t="n">
        <f aca="false">IF(J$5="",0,SUMPRODUCT((Plantillas!$A$2:$A$114=J$5)*(Plantillas!$D$2:$D$114=$A77)*(Plantillas!$G$2:$G$114*N(J$6)+Plantillas!$H$2:$H$114)))</f>
        <v>0</v>
      </c>
      <c r="K77" s="20" t="n">
        <f aca="false">IF(K$5="",0,SUMPRODUCT((Plantillas!$A$2:$A$114=K$5)*(Plantillas!$D$2:$D$114=$A77)*(Plantillas!$G$2:$G$114*N(K$6)+Plantillas!$H$2:$H$114)))</f>
        <v>0</v>
      </c>
      <c r="L77" s="20" t="n">
        <f aca="false">IF(L$5="",0,SUMPRODUCT((Plantillas!$A$2:$A$114=L$5)*(Plantillas!$D$2:$D$114=$A77)*(Plantillas!$G$2:$G$114*N(L$6)+Plantillas!$H$2:$H$114)))</f>
        <v>0</v>
      </c>
      <c r="M77" s="20" t="n">
        <f aca="false">IF(M$5="",0,SUMPRODUCT((Plantillas!$A$2:$A$114=M$5)*(Plantillas!$D$2:$D$114=$A77)*(Plantillas!$G$2:$G$114*N(M$6)+Plantillas!$H$2:$H$114)))</f>
        <v>0</v>
      </c>
      <c r="N77" s="20" t="n">
        <f aca="false">IF(N$5="",0,SUMPRODUCT((Plantillas!$A$2:$A$114=N$5)*(Plantillas!$D$2:$D$114=$A77)*(Plantillas!$G$2:$G$114*N(N$6)+Plantillas!$H$2:$H$114)))</f>
        <v>1</v>
      </c>
      <c r="O77" s="20" t="n">
        <f aca="false">IF(O$5="",0,SUMPRODUCT((Plantillas!$A$2:$A$114=O$5)*(Plantillas!$D$2:$D$114=$A77)*(Plantillas!$G$2:$G$114*N(O$6)+Plantillas!$H$2:$H$114)))</f>
        <v>1</v>
      </c>
      <c r="P77" s="20" t="n">
        <f aca="false">IF(P$5="",0,SUMPRODUCT((Plantillas!$A$2:$A$114=P$5)*(Plantillas!$D$2:$D$114=$A77)*(Plantillas!$G$2:$G$114*N(P$6)+Plantillas!$H$2:$H$114)))</f>
        <v>0</v>
      </c>
      <c r="Q77" s="20" t="n">
        <f aca="false">IF(Q$5="",0,SUMPRODUCT((Plantillas!$A$2:$A$114=Q$5)*(Plantillas!$D$2:$D$114=$A77)*(Plantillas!$G$2:$G$114*N(Q$6)+Plantillas!$H$2:$H$114)))</f>
        <v>0</v>
      </c>
      <c r="R77" s="20" t="n">
        <f aca="false">IF(R$5="",0,SUMPRODUCT((Plantillas!$A$2:$A$114=R$5)*(Plantillas!$D$2:$D$114=$A77)*(Plantillas!$G$2:$G$114*N(R$6)+Plantillas!$H$2:$H$114)))</f>
        <v>0</v>
      </c>
      <c r="S77" s="20" t="n">
        <f aca="false">SUM(E77:R77)</f>
        <v>2</v>
      </c>
      <c r="T77" s="21" t="n">
        <f aca="false">IF(INDEX(Partidas!$F$2:$F$99,MATCH(A77,Partidas!$A$2:$A$99,0))="","",INDEX(Partidas!$F$2:$F$99,MATCH(A77,Partidas!$A$2:$A$99,0)))</f>
        <v>255</v>
      </c>
      <c r="U77" s="22" t="n">
        <f aca="false">IF(T77="",0,S77*T77)</f>
        <v>510</v>
      </c>
    </row>
    <row r="78" customFormat="false" ht="15" hidden="false" customHeight="false" outlineLevel="0" collapsed="false">
      <c r="A78" s="0" t="s">
        <v>309</v>
      </c>
      <c r="B78" s="0" t="s">
        <v>58</v>
      </c>
      <c r="C78" s="9" t="str">
        <f aca="false">INDEX(Partidas!$D$2:$D$99,MATCH(A78,Partidas!$A$2:$A$99,0))</f>
        <v>Grifería termostática de ducha o bañera</v>
      </c>
      <c r="D78" s="9" t="str">
        <f aca="false">INDEX(Partidas!$C$2:$C$99,MATCH(A78,Partidas!$A$2:$A$99,0))</f>
        <v>ud</v>
      </c>
      <c r="E78" s="20" t="n">
        <f aca="false">IF(E$5="",0,SUMPRODUCT((Plantillas!$A$2:$A$114=E$5)*(Plantillas!$D$2:$D$114=$A78)*(Plantillas!$G$2:$G$114*N(E$6)+Plantillas!$H$2:$H$114)))</f>
        <v>0</v>
      </c>
      <c r="F78" s="20" t="n">
        <f aca="false">IF(F$5="",0,SUMPRODUCT((Plantillas!$A$2:$A$114=F$5)*(Plantillas!$D$2:$D$114=$A78)*(Plantillas!$G$2:$G$114*N(F$6)+Plantillas!$H$2:$H$114)))</f>
        <v>0</v>
      </c>
      <c r="G78" s="20" t="n">
        <f aca="false">IF(G$5="",0,SUMPRODUCT((Plantillas!$A$2:$A$114=G$5)*(Plantillas!$D$2:$D$114=$A78)*(Plantillas!$G$2:$G$114*N(G$6)+Plantillas!$H$2:$H$114)))</f>
        <v>0</v>
      </c>
      <c r="H78" s="20" t="n">
        <f aca="false">IF(H$5="",0,SUMPRODUCT((Plantillas!$A$2:$A$114=H$5)*(Plantillas!$D$2:$D$114=$A78)*(Plantillas!$G$2:$G$114*N(H$6)+Plantillas!$H$2:$H$114)))</f>
        <v>0</v>
      </c>
      <c r="I78" s="20" t="n">
        <f aca="false">IF(I$5="",0,SUMPRODUCT((Plantillas!$A$2:$A$114=I$5)*(Plantillas!$D$2:$D$114=$A78)*(Plantillas!$G$2:$G$114*N(I$6)+Plantillas!$H$2:$H$114)))</f>
        <v>0</v>
      </c>
      <c r="J78" s="20" t="n">
        <f aca="false">IF(J$5="",0,SUMPRODUCT((Plantillas!$A$2:$A$114=J$5)*(Plantillas!$D$2:$D$114=$A78)*(Plantillas!$G$2:$G$114*N(J$6)+Plantillas!$H$2:$H$114)))</f>
        <v>0</v>
      </c>
      <c r="K78" s="20" t="n">
        <f aca="false">IF(K$5="",0,SUMPRODUCT((Plantillas!$A$2:$A$114=K$5)*(Plantillas!$D$2:$D$114=$A78)*(Plantillas!$G$2:$G$114*N(K$6)+Plantillas!$H$2:$H$114)))</f>
        <v>0</v>
      </c>
      <c r="L78" s="20" t="n">
        <f aca="false">IF(L$5="",0,SUMPRODUCT((Plantillas!$A$2:$A$114=L$5)*(Plantillas!$D$2:$D$114=$A78)*(Plantillas!$G$2:$G$114*N(L$6)+Plantillas!$H$2:$H$114)))</f>
        <v>0</v>
      </c>
      <c r="M78" s="20" t="n">
        <f aca="false">IF(M$5="",0,SUMPRODUCT((Plantillas!$A$2:$A$114=M$5)*(Plantillas!$D$2:$D$114=$A78)*(Plantillas!$G$2:$G$114*N(M$6)+Plantillas!$H$2:$H$114)))</f>
        <v>0</v>
      </c>
      <c r="N78" s="20" t="n">
        <f aca="false">IF(N$5="",0,SUMPRODUCT((Plantillas!$A$2:$A$114=N$5)*(Plantillas!$D$2:$D$114=$A78)*(Plantillas!$G$2:$G$114*N(N$6)+Plantillas!$H$2:$H$114)))</f>
        <v>1</v>
      </c>
      <c r="O78" s="20" t="n">
        <f aca="false">IF(O$5="",0,SUMPRODUCT((Plantillas!$A$2:$A$114=O$5)*(Plantillas!$D$2:$D$114=$A78)*(Plantillas!$G$2:$G$114*N(O$6)+Plantillas!$H$2:$H$114)))</f>
        <v>1</v>
      </c>
      <c r="P78" s="20" t="n">
        <f aca="false">IF(P$5="",0,SUMPRODUCT((Plantillas!$A$2:$A$114=P$5)*(Plantillas!$D$2:$D$114=$A78)*(Plantillas!$G$2:$G$114*N(P$6)+Plantillas!$H$2:$H$114)))</f>
        <v>0</v>
      </c>
      <c r="Q78" s="20" t="n">
        <f aca="false">IF(Q$5="",0,SUMPRODUCT((Plantillas!$A$2:$A$114=Q$5)*(Plantillas!$D$2:$D$114=$A78)*(Plantillas!$G$2:$G$114*N(Q$6)+Plantillas!$H$2:$H$114)))</f>
        <v>0</v>
      </c>
      <c r="R78" s="20" t="n">
        <f aca="false">IF(R$5="",0,SUMPRODUCT((Plantillas!$A$2:$A$114=R$5)*(Plantillas!$D$2:$D$114=$A78)*(Plantillas!$G$2:$G$114*N(R$6)+Plantillas!$H$2:$H$114)))</f>
        <v>0</v>
      </c>
      <c r="S78" s="20" t="n">
        <f aca="false">SUM(E78:R78)</f>
        <v>2</v>
      </c>
      <c r="T78" s="21" t="n">
        <f aca="false">IF(INDEX(Partidas!$F$2:$F$99,MATCH(A78,Partidas!$A$2:$A$99,0))="","",INDEX(Partidas!$F$2:$F$99,MATCH(A78,Partidas!$A$2:$A$99,0)))</f>
        <v>255</v>
      </c>
      <c r="U78" s="22" t="n">
        <f aca="false">IF(T78="",0,S78*T78)</f>
        <v>510</v>
      </c>
    </row>
    <row r="79" customFormat="false" ht="15" hidden="false" customHeight="false" outlineLevel="0" collapsed="false">
      <c r="A79" s="0" t="s">
        <v>313</v>
      </c>
      <c r="B79" s="0" t="s">
        <v>58</v>
      </c>
      <c r="C79" s="9" t="str">
        <f aca="false">INDEX(Partidas!$D$2:$D$99,MATCH(A79,Partidas!$A$2:$A$99,0))</f>
        <v>Mampara fija de ducha</v>
      </c>
      <c r="D79" s="9" t="str">
        <f aca="false">INDEX(Partidas!$C$2:$C$99,MATCH(A79,Partidas!$A$2:$A$99,0))</f>
        <v>ud</v>
      </c>
      <c r="E79" s="20" t="n">
        <f aca="false">IF(E$5="",0,SUMPRODUCT((Plantillas!$A$2:$A$114=E$5)*(Plantillas!$D$2:$D$114=$A79)*(Plantillas!$G$2:$G$114*N(E$6)+Plantillas!$H$2:$H$114)))</f>
        <v>0</v>
      </c>
      <c r="F79" s="20" t="n">
        <f aca="false">IF(F$5="",0,SUMPRODUCT((Plantillas!$A$2:$A$114=F$5)*(Plantillas!$D$2:$D$114=$A79)*(Plantillas!$G$2:$G$114*N(F$6)+Plantillas!$H$2:$H$114)))</f>
        <v>0</v>
      </c>
      <c r="G79" s="20" t="n">
        <f aca="false">IF(G$5="",0,SUMPRODUCT((Plantillas!$A$2:$A$114=G$5)*(Plantillas!$D$2:$D$114=$A79)*(Plantillas!$G$2:$G$114*N(G$6)+Plantillas!$H$2:$H$114)))</f>
        <v>0</v>
      </c>
      <c r="H79" s="20" t="n">
        <f aca="false">IF(H$5="",0,SUMPRODUCT((Plantillas!$A$2:$A$114=H$5)*(Plantillas!$D$2:$D$114=$A79)*(Plantillas!$G$2:$G$114*N(H$6)+Plantillas!$H$2:$H$114)))</f>
        <v>0</v>
      </c>
      <c r="I79" s="20" t="n">
        <f aca="false">IF(I$5="",0,SUMPRODUCT((Plantillas!$A$2:$A$114=I$5)*(Plantillas!$D$2:$D$114=$A79)*(Plantillas!$G$2:$G$114*N(I$6)+Plantillas!$H$2:$H$114)))</f>
        <v>0</v>
      </c>
      <c r="J79" s="20" t="n">
        <f aca="false">IF(J$5="",0,SUMPRODUCT((Plantillas!$A$2:$A$114=J$5)*(Plantillas!$D$2:$D$114=$A79)*(Plantillas!$G$2:$G$114*N(J$6)+Plantillas!$H$2:$H$114)))</f>
        <v>0</v>
      </c>
      <c r="K79" s="20" t="n">
        <f aca="false">IF(K$5="",0,SUMPRODUCT((Plantillas!$A$2:$A$114=K$5)*(Plantillas!$D$2:$D$114=$A79)*(Plantillas!$G$2:$G$114*N(K$6)+Plantillas!$H$2:$H$114)))</f>
        <v>0</v>
      </c>
      <c r="L79" s="20" t="n">
        <f aca="false">IF(L$5="",0,SUMPRODUCT((Plantillas!$A$2:$A$114=L$5)*(Plantillas!$D$2:$D$114=$A79)*(Plantillas!$G$2:$G$114*N(L$6)+Plantillas!$H$2:$H$114)))</f>
        <v>0</v>
      </c>
      <c r="M79" s="20" t="n">
        <f aca="false">IF(M$5="",0,SUMPRODUCT((Plantillas!$A$2:$A$114=M$5)*(Plantillas!$D$2:$D$114=$A79)*(Plantillas!$G$2:$G$114*N(M$6)+Plantillas!$H$2:$H$114)))</f>
        <v>0</v>
      </c>
      <c r="N79" s="20" t="n">
        <f aca="false">IF(N$5="",0,SUMPRODUCT((Plantillas!$A$2:$A$114=N$5)*(Plantillas!$D$2:$D$114=$A79)*(Plantillas!$G$2:$G$114*N(N$6)+Plantillas!$H$2:$H$114)))</f>
        <v>1</v>
      </c>
      <c r="O79" s="20" t="n">
        <f aca="false">IF(O$5="",0,SUMPRODUCT((Plantillas!$A$2:$A$114=O$5)*(Plantillas!$D$2:$D$114=$A79)*(Plantillas!$G$2:$G$114*N(O$6)+Plantillas!$H$2:$H$114)))</f>
        <v>1</v>
      </c>
      <c r="P79" s="20" t="n">
        <f aca="false">IF(P$5="",0,SUMPRODUCT((Plantillas!$A$2:$A$114=P$5)*(Plantillas!$D$2:$D$114=$A79)*(Plantillas!$G$2:$G$114*N(P$6)+Plantillas!$H$2:$H$114)))</f>
        <v>0</v>
      </c>
      <c r="Q79" s="20" t="n">
        <f aca="false">IF(Q$5="",0,SUMPRODUCT((Plantillas!$A$2:$A$114=Q$5)*(Plantillas!$D$2:$D$114=$A79)*(Plantillas!$G$2:$G$114*N(Q$6)+Plantillas!$H$2:$H$114)))</f>
        <v>0</v>
      </c>
      <c r="R79" s="20" t="n">
        <f aca="false">IF(R$5="",0,SUMPRODUCT((Plantillas!$A$2:$A$114=R$5)*(Plantillas!$D$2:$D$114=$A79)*(Plantillas!$G$2:$G$114*N(R$6)+Plantillas!$H$2:$H$114)))</f>
        <v>0</v>
      </c>
      <c r="S79" s="20" t="n">
        <f aca="false">SUM(E79:R79)</f>
        <v>2</v>
      </c>
      <c r="T79" s="21" t="n">
        <f aca="false">IF(INDEX(Partidas!$F$2:$F$99,MATCH(A79,Partidas!$A$2:$A$99,0))="","",INDEX(Partidas!$F$2:$F$99,MATCH(A79,Partidas!$A$2:$A$99,0)))</f>
        <v>420</v>
      </c>
      <c r="U79" s="22" t="n">
        <f aca="false">IF(T79="",0,S79*T79)</f>
        <v>840</v>
      </c>
    </row>
    <row r="80" customFormat="false" ht="15" hidden="false" customHeight="false" outlineLevel="0" collapsed="false">
      <c r="A80" s="0" t="s">
        <v>317</v>
      </c>
      <c r="B80" s="0" t="s">
        <v>58</v>
      </c>
      <c r="C80" s="9" t="str">
        <f aca="false">INDEX(Partidas!$D$2:$D$99,MATCH(A80,Partidas!$A$2:$A$99,0))</f>
        <v>Mampara de bañera</v>
      </c>
      <c r="D80" s="9" t="str">
        <f aca="false">INDEX(Partidas!$C$2:$C$99,MATCH(A80,Partidas!$A$2:$A$99,0))</f>
        <v>ud</v>
      </c>
      <c r="E80" s="20" t="n">
        <f aca="false">IF(E$5="",0,SUMPRODUCT((Plantillas!$A$2:$A$114=E$5)*(Plantillas!$D$2:$D$114=$A80)*(Plantillas!$G$2:$G$114*N(E$6)+Plantillas!$H$2:$H$114)))</f>
        <v>0</v>
      </c>
      <c r="F80" s="20" t="n">
        <f aca="false">IF(F$5="",0,SUMPRODUCT((Plantillas!$A$2:$A$114=F$5)*(Plantillas!$D$2:$D$114=$A80)*(Plantillas!$G$2:$G$114*N(F$6)+Plantillas!$H$2:$H$114)))</f>
        <v>0</v>
      </c>
      <c r="G80" s="20" t="n">
        <f aca="false">IF(G$5="",0,SUMPRODUCT((Plantillas!$A$2:$A$114=G$5)*(Plantillas!$D$2:$D$114=$A80)*(Plantillas!$G$2:$G$114*N(G$6)+Plantillas!$H$2:$H$114)))</f>
        <v>0</v>
      </c>
      <c r="H80" s="20" t="n">
        <f aca="false">IF(H$5="",0,SUMPRODUCT((Plantillas!$A$2:$A$114=H$5)*(Plantillas!$D$2:$D$114=$A80)*(Plantillas!$G$2:$G$114*N(H$6)+Plantillas!$H$2:$H$114)))</f>
        <v>0</v>
      </c>
      <c r="I80" s="20" t="n">
        <f aca="false">IF(I$5="",0,SUMPRODUCT((Plantillas!$A$2:$A$114=I$5)*(Plantillas!$D$2:$D$114=$A80)*(Plantillas!$G$2:$G$114*N(I$6)+Plantillas!$H$2:$H$114)))</f>
        <v>0</v>
      </c>
      <c r="J80" s="20" t="n">
        <f aca="false">IF(J$5="",0,SUMPRODUCT((Plantillas!$A$2:$A$114=J$5)*(Plantillas!$D$2:$D$114=$A80)*(Plantillas!$G$2:$G$114*N(J$6)+Plantillas!$H$2:$H$114)))</f>
        <v>0</v>
      </c>
      <c r="K80" s="20" t="n">
        <f aca="false">IF(K$5="",0,SUMPRODUCT((Plantillas!$A$2:$A$114=K$5)*(Plantillas!$D$2:$D$114=$A80)*(Plantillas!$G$2:$G$114*N(K$6)+Plantillas!$H$2:$H$114)))</f>
        <v>0</v>
      </c>
      <c r="L80" s="20" t="n">
        <f aca="false">IF(L$5="",0,SUMPRODUCT((Plantillas!$A$2:$A$114=L$5)*(Plantillas!$D$2:$D$114=$A80)*(Plantillas!$G$2:$G$114*N(L$6)+Plantillas!$H$2:$H$114)))</f>
        <v>0</v>
      </c>
      <c r="M80" s="20" t="n">
        <f aca="false">IF(M$5="",0,SUMPRODUCT((Plantillas!$A$2:$A$114=M$5)*(Plantillas!$D$2:$D$114=$A80)*(Plantillas!$G$2:$G$114*N(M$6)+Plantillas!$H$2:$H$114)))</f>
        <v>0</v>
      </c>
      <c r="N80" s="20" t="n">
        <f aca="false">IF(N$5="",0,SUMPRODUCT((Plantillas!$A$2:$A$114=N$5)*(Plantillas!$D$2:$D$114=$A80)*(Plantillas!$G$2:$G$114*N(N$6)+Plantillas!$H$2:$H$114)))</f>
        <v>0</v>
      </c>
      <c r="O80" s="20" t="n">
        <f aca="false">IF(O$5="",0,SUMPRODUCT((Plantillas!$A$2:$A$114=O$5)*(Plantillas!$D$2:$D$114=$A80)*(Plantillas!$G$2:$G$114*N(O$6)+Plantillas!$H$2:$H$114)))</f>
        <v>0</v>
      </c>
      <c r="P80" s="20" t="n">
        <f aca="false">IF(P$5="",0,SUMPRODUCT((Plantillas!$A$2:$A$114=P$5)*(Plantillas!$D$2:$D$114=$A80)*(Plantillas!$G$2:$G$114*N(P$6)+Plantillas!$H$2:$H$114)))</f>
        <v>0</v>
      </c>
      <c r="Q80" s="20" t="n">
        <f aca="false">IF(Q$5="",0,SUMPRODUCT((Plantillas!$A$2:$A$114=Q$5)*(Plantillas!$D$2:$D$114=$A80)*(Plantillas!$G$2:$G$114*N(Q$6)+Plantillas!$H$2:$H$114)))</f>
        <v>0</v>
      </c>
      <c r="R80" s="20" t="n">
        <f aca="false">IF(R$5="",0,SUMPRODUCT((Plantillas!$A$2:$A$114=R$5)*(Plantillas!$D$2:$D$114=$A80)*(Plantillas!$G$2:$G$114*N(R$6)+Plantillas!$H$2:$H$114)))</f>
        <v>0</v>
      </c>
      <c r="S80" s="20" t="n">
        <f aca="false">SUM(E80:R80)</f>
        <v>0</v>
      </c>
      <c r="T80" s="21" t="n">
        <f aca="false">IF(INDEX(Partidas!$F$2:$F$99,MATCH(A80,Partidas!$A$2:$A$99,0))="","",INDEX(Partidas!$F$2:$F$99,MATCH(A80,Partidas!$A$2:$A$99,0)))</f>
        <v>320</v>
      </c>
      <c r="U80" s="22" t="n">
        <f aca="false">IF(T80="",0,S80*T80)</f>
        <v>0</v>
      </c>
    </row>
    <row r="81" customFormat="false" ht="15" hidden="false" customHeight="false" outlineLevel="0" collapsed="false">
      <c r="A81" s="0" t="s">
        <v>321</v>
      </c>
      <c r="B81" s="0" t="s">
        <v>58</v>
      </c>
      <c r="C81" s="9" t="str">
        <f aca="false">INDEX(Partidas!$D$2:$D$99,MATCH(A81,Partidas!$A$2:$A$99,0))</f>
        <v>Espejo de baño a medida</v>
      </c>
      <c r="D81" s="9" t="str">
        <f aca="false">INDEX(Partidas!$C$2:$C$99,MATCH(A81,Partidas!$A$2:$A$99,0))</f>
        <v>m2</v>
      </c>
      <c r="E81" s="20" t="n">
        <f aca="false">IF(E$5="",0,SUMPRODUCT((Plantillas!$A$2:$A$114=E$5)*(Plantillas!$D$2:$D$114=$A81)*(Plantillas!$G$2:$G$114*N(E$6)+Plantillas!$H$2:$H$114)))</f>
        <v>0</v>
      </c>
      <c r="F81" s="20" t="n">
        <f aca="false">IF(F$5="",0,SUMPRODUCT((Plantillas!$A$2:$A$114=F$5)*(Plantillas!$D$2:$D$114=$A81)*(Plantillas!$G$2:$G$114*N(F$6)+Plantillas!$H$2:$H$114)))</f>
        <v>0</v>
      </c>
      <c r="G81" s="20" t="n">
        <f aca="false">IF(G$5="",0,SUMPRODUCT((Plantillas!$A$2:$A$114=G$5)*(Plantillas!$D$2:$D$114=$A81)*(Plantillas!$G$2:$G$114*N(G$6)+Plantillas!$H$2:$H$114)))</f>
        <v>0</v>
      </c>
      <c r="H81" s="20" t="n">
        <f aca="false">IF(H$5="",0,SUMPRODUCT((Plantillas!$A$2:$A$114=H$5)*(Plantillas!$D$2:$D$114=$A81)*(Plantillas!$G$2:$G$114*N(H$6)+Plantillas!$H$2:$H$114)))</f>
        <v>0</v>
      </c>
      <c r="I81" s="20" t="n">
        <f aca="false">IF(I$5="",0,SUMPRODUCT((Plantillas!$A$2:$A$114=I$5)*(Plantillas!$D$2:$D$114=$A81)*(Plantillas!$G$2:$G$114*N(I$6)+Plantillas!$H$2:$H$114)))</f>
        <v>0</v>
      </c>
      <c r="J81" s="20" t="n">
        <f aca="false">IF(J$5="",0,SUMPRODUCT((Plantillas!$A$2:$A$114=J$5)*(Plantillas!$D$2:$D$114=$A81)*(Plantillas!$G$2:$G$114*N(J$6)+Plantillas!$H$2:$H$114)))</f>
        <v>0</v>
      </c>
      <c r="K81" s="20" t="n">
        <f aca="false">IF(K$5="",0,SUMPRODUCT((Plantillas!$A$2:$A$114=K$5)*(Plantillas!$D$2:$D$114=$A81)*(Plantillas!$G$2:$G$114*N(K$6)+Plantillas!$H$2:$H$114)))</f>
        <v>0</v>
      </c>
      <c r="L81" s="20" t="n">
        <f aca="false">IF(L$5="",0,SUMPRODUCT((Plantillas!$A$2:$A$114=L$5)*(Plantillas!$D$2:$D$114=$A81)*(Plantillas!$G$2:$G$114*N(L$6)+Plantillas!$H$2:$H$114)))</f>
        <v>0</v>
      </c>
      <c r="M81" s="20" t="n">
        <f aca="false">IF(M$5="",0,SUMPRODUCT((Plantillas!$A$2:$A$114=M$5)*(Plantillas!$D$2:$D$114=$A81)*(Plantillas!$G$2:$G$114*N(M$6)+Plantillas!$H$2:$H$114)))</f>
        <v>0</v>
      </c>
      <c r="N81" s="20" t="n">
        <f aca="false">IF(N$5="",0,SUMPRODUCT((Plantillas!$A$2:$A$114=N$5)*(Plantillas!$D$2:$D$114=$A81)*(Plantillas!$G$2:$G$114*N(N$6)+Plantillas!$H$2:$H$114)))</f>
        <v>0.8</v>
      </c>
      <c r="O81" s="20" t="n">
        <f aca="false">IF(O$5="",0,SUMPRODUCT((Plantillas!$A$2:$A$114=O$5)*(Plantillas!$D$2:$D$114=$A81)*(Plantillas!$G$2:$G$114*N(O$6)+Plantillas!$H$2:$H$114)))</f>
        <v>0.8</v>
      </c>
      <c r="P81" s="20" t="n">
        <f aca="false">IF(P$5="",0,SUMPRODUCT((Plantillas!$A$2:$A$114=P$5)*(Plantillas!$D$2:$D$114=$A81)*(Plantillas!$G$2:$G$114*N(P$6)+Plantillas!$H$2:$H$114)))</f>
        <v>0</v>
      </c>
      <c r="Q81" s="20" t="n">
        <f aca="false">IF(Q$5="",0,SUMPRODUCT((Plantillas!$A$2:$A$114=Q$5)*(Plantillas!$D$2:$D$114=$A81)*(Plantillas!$G$2:$G$114*N(Q$6)+Plantillas!$H$2:$H$114)))</f>
        <v>0</v>
      </c>
      <c r="R81" s="20" t="n">
        <f aca="false">IF(R$5="",0,SUMPRODUCT((Plantillas!$A$2:$A$114=R$5)*(Plantillas!$D$2:$D$114=$A81)*(Plantillas!$G$2:$G$114*N(R$6)+Plantillas!$H$2:$H$114)))</f>
        <v>0</v>
      </c>
      <c r="S81" s="20" t="n">
        <f aca="false">SUM(E81:R81)</f>
        <v>1.6</v>
      </c>
      <c r="T81" s="21" t="n">
        <f aca="false">IF(INDEX(Partidas!$F$2:$F$99,MATCH(A81,Partidas!$A$2:$A$99,0))="","",INDEX(Partidas!$F$2:$F$99,MATCH(A81,Partidas!$A$2:$A$99,0)))</f>
        <v>70</v>
      </c>
      <c r="U81" s="22" t="n">
        <f aca="false">IF(T81="",0,S81*T81)</f>
        <v>112</v>
      </c>
    </row>
    <row r="82" customFormat="false" ht="15" hidden="false" customHeight="false" outlineLevel="0" collapsed="false">
      <c r="A82" s="0" t="s">
        <v>325</v>
      </c>
      <c r="B82" s="0" t="s">
        <v>58</v>
      </c>
      <c r="C82" s="9" t="str">
        <f aca="false">INDEX(Partidas!$D$2:$D$99,MATCH(A82,Partidas!$A$2:$A$99,0))</f>
        <v>Toallero eléctrico</v>
      </c>
      <c r="D82" s="9" t="str">
        <f aca="false">INDEX(Partidas!$C$2:$C$99,MATCH(A82,Partidas!$A$2:$A$99,0))</f>
        <v>ud</v>
      </c>
      <c r="E82" s="20" t="n">
        <f aca="false">IF(E$5="",0,SUMPRODUCT((Plantillas!$A$2:$A$114=E$5)*(Plantillas!$D$2:$D$114=$A82)*(Plantillas!$G$2:$G$114*N(E$6)+Plantillas!$H$2:$H$114)))</f>
        <v>0</v>
      </c>
      <c r="F82" s="20" t="n">
        <f aca="false">IF(F$5="",0,SUMPRODUCT((Plantillas!$A$2:$A$114=F$5)*(Plantillas!$D$2:$D$114=$A82)*(Plantillas!$G$2:$G$114*N(F$6)+Plantillas!$H$2:$H$114)))</f>
        <v>0</v>
      </c>
      <c r="G82" s="20" t="n">
        <f aca="false">IF(G$5="",0,SUMPRODUCT((Plantillas!$A$2:$A$114=G$5)*(Plantillas!$D$2:$D$114=$A82)*(Plantillas!$G$2:$G$114*N(G$6)+Plantillas!$H$2:$H$114)))</f>
        <v>0</v>
      </c>
      <c r="H82" s="20" t="n">
        <f aca="false">IF(H$5="",0,SUMPRODUCT((Plantillas!$A$2:$A$114=H$5)*(Plantillas!$D$2:$D$114=$A82)*(Plantillas!$G$2:$G$114*N(H$6)+Plantillas!$H$2:$H$114)))</f>
        <v>0</v>
      </c>
      <c r="I82" s="20" t="n">
        <f aca="false">IF(I$5="",0,SUMPRODUCT((Plantillas!$A$2:$A$114=I$5)*(Plantillas!$D$2:$D$114=$A82)*(Plantillas!$G$2:$G$114*N(I$6)+Plantillas!$H$2:$H$114)))</f>
        <v>0</v>
      </c>
      <c r="J82" s="20" t="n">
        <f aca="false">IF(J$5="",0,SUMPRODUCT((Plantillas!$A$2:$A$114=J$5)*(Plantillas!$D$2:$D$114=$A82)*(Plantillas!$G$2:$G$114*N(J$6)+Plantillas!$H$2:$H$114)))</f>
        <v>0</v>
      </c>
      <c r="K82" s="20" t="n">
        <f aca="false">IF(K$5="",0,SUMPRODUCT((Plantillas!$A$2:$A$114=K$5)*(Plantillas!$D$2:$D$114=$A82)*(Plantillas!$G$2:$G$114*N(K$6)+Plantillas!$H$2:$H$114)))</f>
        <v>0</v>
      </c>
      <c r="L82" s="20" t="n">
        <f aca="false">IF(L$5="",0,SUMPRODUCT((Plantillas!$A$2:$A$114=L$5)*(Plantillas!$D$2:$D$114=$A82)*(Plantillas!$G$2:$G$114*N(L$6)+Plantillas!$H$2:$H$114)))</f>
        <v>0</v>
      </c>
      <c r="M82" s="20" t="n">
        <f aca="false">IF(M$5="",0,SUMPRODUCT((Plantillas!$A$2:$A$114=M$5)*(Plantillas!$D$2:$D$114=$A82)*(Plantillas!$G$2:$G$114*N(M$6)+Plantillas!$H$2:$H$114)))</f>
        <v>0</v>
      </c>
      <c r="N82" s="20" t="n">
        <f aca="false">IF(N$5="",0,SUMPRODUCT((Plantillas!$A$2:$A$114=N$5)*(Plantillas!$D$2:$D$114=$A82)*(Plantillas!$G$2:$G$114*N(N$6)+Plantillas!$H$2:$H$114)))</f>
        <v>1</v>
      </c>
      <c r="O82" s="20" t="n">
        <f aca="false">IF(O$5="",0,SUMPRODUCT((Plantillas!$A$2:$A$114=O$5)*(Plantillas!$D$2:$D$114=$A82)*(Plantillas!$G$2:$G$114*N(O$6)+Plantillas!$H$2:$H$114)))</f>
        <v>1</v>
      </c>
      <c r="P82" s="20" t="n">
        <f aca="false">IF(P$5="",0,SUMPRODUCT((Plantillas!$A$2:$A$114=P$5)*(Plantillas!$D$2:$D$114=$A82)*(Plantillas!$G$2:$G$114*N(P$6)+Plantillas!$H$2:$H$114)))</f>
        <v>0</v>
      </c>
      <c r="Q82" s="20" t="n">
        <f aca="false">IF(Q$5="",0,SUMPRODUCT((Plantillas!$A$2:$A$114=Q$5)*(Plantillas!$D$2:$D$114=$A82)*(Plantillas!$G$2:$G$114*N(Q$6)+Plantillas!$H$2:$H$114)))</f>
        <v>0</v>
      </c>
      <c r="R82" s="20" t="n">
        <f aca="false">IF(R$5="",0,SUMPRODUCT((Plantillas!$A$2:$A$114=R$5)*(Plantillas!$D$2:$D$114=$A82)*(Plantillas!$G$2:$G$114*N(R$6)+Plantillas!$H$2:$H$114)))</f>
        <v>0</v>
      </c>
      <c r="S82" s="20" t="n">
        <f aca="false">SUM(E82:R82)</f>
        <v>2</v>
      </c>
      <c r="T82" s="21" t="n">
        <f aca="false">IF(INDEX(Partidas!$F$2:$F$99,MATCH(A82,Partidas!$A$2:$A$99,0))="","",INDEX(Partidas!$F$2:$F$99,MATCH(A82,Partidas!$A$2:$A$99,0)))</f>
        <v>250</v>
      </c>
      <c r="U82" s="22" t="n">
        <f aca="false">IF(T82="",0,S82*T82)</f>
        <v>500</v>
      </c>
    </row>
    <row r="83" customFormat="false" ht="15" hidden="false" customHeight="false" outlineLevel="0" collapsed="false">
      <c r="A83" s="0" t="s">
        <v>329</v>
      </c>
      <c r="B83" s="0" t="s">
        <v>58</v>
      </c>
      <c r="C83" s="9" t="str">
        <f aca="false">INDEX(Partidas!$D$2:$D$99,MATCH(A83,Partidas!$A$2:$A$99,0))</f>
        <v>Toallero-radiador de agua</v>
      </c>
      <c r="D83" s="9" t="str">
        <f aca="false">INDEX(Partidas!$C$2:$C$99,MATCH(A83,Partidas!$A$2:$A$99,0))</f>
        <v>ud</v>
      </c>
      <c r="E83" s="20" t="n">
        <f aca="false">IF(E$5="",0,SUMPRODUCT((Plantillas!$A$2:$A$114=E$5)*(Plantillas!$D$2:$D$114=$A83)*(Plantillas!$G$2:$G$114*N(E$6)+Plantillas!$H$2:$H$114)))</f>
        <v>0</v>
      </c>
      <c r="F83" s="20" t="n">
        <f aca="false">IF(F$5="",0,SUMPRODUCT((Plantillas!$A$2:$A$114=F$5)*(Plantillas!$D$2:$D$114=$A83)*(Plantillas!$G$2:$G$114*N(F$6)+Plantillas!$H$2:$H$114)))</f>
        <v>0</v>
      </c>
      <c r="G83" s="20" t="n">
        <f aca="false">IF(G$5="",0,SUMPRODUCT((Plantillas!$A$2:$A$114=G$5)*(Plantillas!$D$2:$D$114=$A83)*(Plantillas!$G$2:$G$114*N(G$6)+Plantillas!$H$2:$H$114)))</f>
        <v>0</v>
      </c>
      <c r="H83" s="20" t="n">
        <f aca="false">IF(H$5="",0,SUMPRODUCT((Plantillas!$A$2:$A$114=H$5)*(Plantillas!$D$2:$D$114=$A83)*(Plantillas!$G$2:$G$114*N(H$6)+Plantillas!$H$2:$H$114)))</f>
        <v>0</v>
      </c>
      <c r="I83" s="20" t="n">
        <f aca="false">IF(I$5="",0,SUMPRODUCT((Plantillas!$A$2:$A$114=I$5)*(Plantillas!$D$2:$D$114=$A83)*(Plantillas!$G$2:$G$114*N(I$6)+Plantillas!$H$2:$H$114)))</f>
        <v>0</v>
      </c>
      <c r="J83" s="20" t="n">
        <f aca="false">IF(J$5="",0,SUMPRODUCT((Plantillas!$A$2:$A$114=J$5)*(Plantillas!$D$2:$D$114=$A83)*(Plantillas!$G$2:$G$114*N(J$6)+Plantillas!$H$2:$H$114)))</f>
        <v>0</v>
      </c>
      <c r="K83" s="20" t="n">
        <f aca="false">IF(K$5="",0,SUMPRODUCT((Plantillas!$A$2:$A$114=K$5)*(Plantillas!$D$2:$D$114=$A83)*(Plantillas!$G$2:$G$114*N(K$6)+Plantillas!$H$2:$H$114)))</f>
        <v>0</v>
      </c>
      <c r="L83" s="20" t="n">
        <f aca="false">IF(L$5="",0,SUMPRODUCT((Plantillas!$A$2:$A$114=L$5)*(Plantillas!$D$2:$D$114=$A83)*(Plantillas!$G$2:$G$114*N(L$6)+Plantillas!$H$2:$H$114)))</f>
        <v>0</v>
      </c>
      <c r="M83" s="20" t="n">
        <f aca="false">IF(M$5="",0,SUMPRODUCT((Plantillas!$A$2:$A$114=M$5)*(Plantillas!$D$2:$D$114=$A83)*(Plantillas!$G$2:$G$114*N(M$6)+Plantillas!$H$2:$H$114)))</f>
        <v>0</v>
      </c>
      <c r="N83" s="20" t="n">
        <f aca="false">IF(N$5="",0,SUMPRODUCT((Plantillas!$A$2:$A$114=N$5)*(Plantillas!$D$2:$D$114=$A83)*(Plantillas!$G$2:$G$114*N(N$6)+Plantillas!$H$2:$H$114)))</f>
        <v>0</v>
      </c>
      <c r="O83" s="20" t="n">
        <f aca="false">IF(O$5="",0,SUMPRODUCT((Plantillas!$A$2:$A$114=O$5)*(Plantillas!$D$2:$D$114=$A83)*(Plantillas!$G$2:$G$114*N(O$6)+Plantillas!$H$2:$H$114)))</f>
        <v>0</v>
      </c>
      <c r="P83" s="20" t="n">
        <f aca="false">IF(P$5="",0,SUMPRODUCT((Plantillas!$A$2:$A$114=P$5)*(Plantillas!$D$2:$D$114=$A83)*(Plantillas!$G$2:$G$114*N(P$6)+Plantillas!$H$2:$H$114)))</f>
        <v>0</v>
      </c>
      <c r="Q83" s="20" t="n">
        <f aca="false">IF(Q$5="",0,SUMPRODUCT((Plantillas!$A$2:$A$114=Q$5)*(Plantillas!$D$2:$D$114=$A83)*(Plantillas!$G$2:$G$114*N(Q$6)+Plantillas!$H$2:$H$114)))</f>
        <v>0</v>
      </c>
      <c r="R83" s="20" t="n">
        <f aca="false">IF(R$5="",0,SUMPRODUCT((Plantillas!$A$2:$A$114=R$5)*(Plantillas!$D$2:$D$114=$A83)*(Plantillas!$G$2:$G$114*N(R$6)+Plantillas!$H$2:$H$114)))</f>
        <v>0</v>
      </c>
      <c r="S83" s="20" t="n">
        <f aca="false">SUM(E83:R83)</f>
        <v>0</v>
      </c>
      <c r="T83" s="21" t="str">
        <f aca="false">IF(INDEX(Partidas!$F$2:$F$99,MATCH(A83,Partidas!$A$2:$A$99,0))="","",INDEX(Partidas!$F$2:$F$99,MATCH(A83,Partidas!$A$2:$A$99,0)))</f>
        <v/>
      </c>
      <c r="U83" s="22" t="n">
        <f aca="false">IF(T83="",0,S83*T83)</f>
        <v>0</v>
      </c>
    </row>
    <row r="84" customFormat="false" ht="15" hidden="false" customHeight="false" outlineLevel="0" collapsed="false">
      <c r="A84" s="0" t="s">
        <v>333</v>
      </c>
      <c r="B84" s="0" t="s">
        <v>58</v>
      </c>
      <c r="C84" s="9" t="str">
        <f aca="false">INDEX(Partidas!$D$2:$D$99,MATCH(A84,Partidas!$A$2:$A$99,0))</f>
        <v>Juego de accesorios de baño</v>
      </c>
      <c r="D84" s="9" t="str">
        <f aca="false">INDEX(Partidas!$C$2:$C$99,MATCH(A84,Partidas!$A$2:$A$99,0))</f>
        <v>ud</v>
      </c>
      <c r="E84" s="20" t="n">
        <f aca="false">IF(E$5="",0,SUMPRODUCT((Plantillas!$A$2:$A$114=E$5)*(Plantillas!$D$2:$D$114=$A84)*(Plantillas!$G$2:$G$114*N(E$6)+Plantillas!$H$2:$H$114)))</f>
        <v>0</v>
      </c>
      <c r="F84" s="20" t="n">
        <f aca="false">IF(F$5="",0,SUMPRODUCT((Plantillas!$A$2:$A$114=F$5)*(Plantillas!$D$2:$D$114=$A84)*(Plantillas!$G$2:$G$114*N(F$6)+Plantillas!$H$2:$H$114)))</f>
        <v>0</v>
      </c>
      <c r="G84" s="20" t="n">
        <f aca="false">IF(G$5="",0,SUMPRODUCT((Plantillas!$A$2:$A$114=G$5)*(Plantillas!$D$2:$D$114=$A84)*(Plantillas!$G$2:$G$114*N(G$6)+Plantillas!$H$2:$H$114)))</f>
        <v>0</v>
      </c>
      <c r="H84" s="20" t="n">
        <f aca="false">IF(H$5="",0,SUMPRODUCT((Plantillas!$A$2:$A$114=H$5)*(Plantillas!$D$2:$D$114=$A84)*(Plantillas!$G$2:$G$114*N(H$6)+Plantillas!$H$2:$H$114)))</f>
        <v>0</v>
      </c>
      <c r="I84" s="20" t="n">
        <f aca="false">IF(I$5="",0,SUMPRODUCT((Plantillas!$A$2:$A$114=I$5)*(Plantillas!$D$2:$D$114=$A84)*(Plantillas!$G$2:$G$114*N(I$6)+Plantillas!$H$2:$H$114)))</f>
        <v>0</v>
      </c>
      <c r="J84" s="20" t="n">
        <f aca="false">IF(J$5="",0,SUMPRODUCT((Plantillas!$A$2:$A$114=J$5)*(Plantillas!$D$2:$D$114=$A84)*(Plantillas!$G$2:$G$114*N(J$6)+Plantillas!$H$2:$H$114)))</f>
        <v>0</v>
      </c>
      <c r="K84" s="20" t="n">
        <f aca="false">IF(K$5="",0,SUMPRODUCT((Plantillas!$A$2:$A$114=K$5)*(Plantillas!$D$2:$D$114=$A84)*(Plantillas!$G$2:$G$114*N(K$6)+Plantillas!$H$2:$H$114)))</f>
        <v>0</v>
      </c>
      <c r="L84" s="20" t="n">
        <f aca="false">IF(L$5="",0,SUMPRODUCT((Plantillas!$A$2:$A$114=L$5)*(Plantillas!$D$2:$D$114=$A84)*(Plantillas!$G$2:$G$114*N(L$6)+Plantillas!$H$2:$H$114)))</f>
        <v>0</v>
      </c>
      <c r="M84" s="20" t="n">
        <f aca="false">IF(M$5="",0,SUMPRODUCT((Plantillas!$A$2:$A$114=M$5)*(Plantillas!$D$2:$D$114=$A84)*(Plantillas!$G$2:$G$114*N(M$6)+Plantillas!$H$2:$H$114)))</f>
        <v>0</v>
      </c>
      <c r="N84" s="20" t="n">
        <f aca="false">IF(N$5="",0,SUMPRODUCT((Plantillas!$A$2:$A$114=N$5)*(Plantillas!$D$2:$D$114=$A84)*(Plantillas!$G$2:$G$114*N(N$6)+Plantillas!$H$2:$H$114)))</f>
        <v>1</v>
      </c>
      <c r="O84" s="20" t="n">
        <f aca="false">IF(O$5="",0,SUMPRODUCT((Plantillas!$A$2:$A$114=O$5)*(Plantillas!$D$2:$D$114=$A84)*(Plantillas!$G$2:$G$114*N(O$6)+Plantillas!$H$2:$H$114)))</f>
        <v>1</v>
      </c>
      <c r="P84" s="20" t="n">
        <f aca="false">IF(P$5="",0,SUMPRODUCT((Plantillas!$A$2:$A$114=P$5)*(Plantillas!$D$2:$D$114=$A84)*(Plantillas!$G$2:$G$114*N(P$6)+Plantillas!$H$2:$H$114)))</f>
        <v>0</v>
      </c>
      <c r="Q84" s="20" t="n">
        <f aca="false">IF(Q$5="",0,SUMPRODUCT((Plantillas!$A$2:$A$114=Q$5)*(Plantillas!$D$2:$D$114=$A84)*(Plantillas!$G$2:$G$114*N(Q$6)+Plantillas!$H$2:$H$114)))</f>
        <v>0</v>
      </c>
      <c r="R84" s="20" t="n">
        <f aca="false">IF(R$5="",0,SUMPRODUCT((Plantillas!$A$2:$A$114=R$5)*(Plantillas!$D$2:$D$114=$A84)*(Plantillas!$G$2:$G$114*N(R$6)+Plantillas!$H$2:$H$114)))</f>
        <v>0</v>
      </c>
      <c r="S84" s="20" t="n">
        <f aca="false">SUM(E84:R84)</f>
        <v>2</v>
      </c>
      <c r="T84" s="21" t="str">
        <f aca="false">IF(INDEX(Partidas!$F$2:$F$99,MATCH(A84,Partidas!$A$2:$A$99,0))="","",INDEX(Partidas!$F$2:$F$99,MATCH(A84,Partidas!$A$2:$A$99,0)))</f>
        <v/>
      </c>
      <c r="U84" s="22" t="n">
        <f aca="false">IF(T84="",0,S84*T84)</f>
        <v>0</v>
      </c>
    </row>
    <row r="85" customFormat="false" ht="15" hidden="false" customHeight="false" outlineLevel="0" collapsed="false">
      <c r="A85" s="17" t="s">
        <v>60</v>
      </c>
      <c r="B85" s="18"/>
      <c r="C85" s="17" t="s">
        <v>61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9" t="n">
        <f aca="false">SUM(U86:U88)</f>
        <v>0</v>
      </c>
    </row>
    <row r="86" customFormat="false" ht="15" hidden="false" customHeight="false" outlineLevel="0" collapsed="false">
      <c r="A86" s="0" t="s">
        <v>336</v>
      </c>
      <c r="B86" s="0" t="s">
        <v>60</v>
      </c>
      <c r="C86" s="9" t="str">
        <f aca="false">INDEX(Partidas!$D$2:$D$99,MATCH(A86,Partidas!$A$2:$A$99,0))</f>
        <v>Mobiliario de cocina con encimera</v>
      </c>
      <c r="D86" s="9" t="str">
        <f aca="false">INDEX(Partidas!$C$2:$C$99,MATCH(A86,Partidas!$A$2:$A$99,0))</f>
        <v>m</v>
      </c>
      <c r="E86" s="20" t="n">
        <f aca="false">IF(E$5="",0,SUMPRODUCT((Plantillas!$A$2:$A$114=E$5)*(Plantillas!$D$2:$D$114=$A86)*(Plantillas!$G$2:$G$114*N(E$6)+Plantillas!$H$2:$H$114)))</f>
        <v>0</v>
      </c>
      <c r="F86" s="20" t="n">
        <f aca="false">IF(F$5="",0,SUMPRODUCT((Plantillas!$A$2:$A$114=F$5)*(Plantillas!$D$2:$D$114=$A86)*(Plantillas!$G$2:$G$114*N(F$6)+Plantillas!$H$2:$H$114)))</f>
        <v>0</v>
      </c>
      <c r="G86" s="20" t="n">
        <f aca="false">IF(G$5="",0,SUMPRODUCT((Plantillas!$A$2:$A$114=G$5)*(Plantillas!$D$2:$D$114=$A86)*(Plantillas!$G$2:$G$114*N(G$6)+Plantillas!$H$2:$H$114)))</f>
        <v>0</v>
      </c>
      <c r="H86" s="20" t="n">
        <f aca="false">IF(H$5="",0,SUMPRODUCT((Plantillas!$A$2:$A$114=H$5)*(Plantillas!$D$2:$D$114=$A86)*(Plantillas!$G$2:$G$114*N(H$6)+Plantillas!$H$2:$H$114)))</f>
        <v>0</v>
      </c>
      <c r="I86" s="20" t="n">
        <f aca="false">IF(I$5="",0,SUMPRODUCT((Plantillas!$A$2:$A$114=I$5)*(Plantillas!$D$2:$D$114=$A86)*(Plantillas!$G$2:$G$114*N(I$6)+Plantillas!$H$2:$H$114)))</f>
        <v>0</v>
      </c>
      <c r="J86" s="20" t="n">
        <f aca="false">IF(J$5="",0,SUMPRODUCT((Plantillas!$A$2:$A$114=J$5)*(Plantillas!$D$2:$D$114=$A86)*(Plantillas!$G$2:$G$114*N(J$6)+Plantillas!$H$2:$H$114)))</f>
        <v>0</v>
      </c>
      <c r="K86" s="20" t="n">
        <f aca="false">IF(K$5="",0,SUMPRODUCT((Plantillas!$A$2:$A$114=K$5)*(Plantillas!$D$2:$D$114=$A86)*(Plantillas!$G$2:$G$114*N(K$6)+Plantillas!$H$2:$H$114)))</f>
        <v>0</v>
      </c>
      <c r="L86" s="20" t="n">
        <f aca="false">IF(L$5="",0,SUMPRODUCT((Plantillas!$A$2:$A$114=L$5)*(Plantillas!$D$2:$D$114=$A86)*(Plantillas!$G$2:$G$114*N(L$6)+Plantillas!$H$2:$H$114)))</f>
        <v>0</v>
      </c>
      <c r="M86" s="20" t="n">
        <f aca="false">IF(M$5="",0,SUMPRODUCT((Plantillas!$A$2:$A$114=M$5)*(Plantillas!$D$2:$D$114=$A86)*(Plantillas!$G$2:$G$114*N(M$6)+Plantillas!$H$2:$H$114)))</f>
        <v>0</v>
      </c>
      <c r="N86" s="20" t="n">
        <f aca="false">IF(N$5="",0,SUMPRODUCT((Plantillas!$A$2:$A$114=N$5)*(Plantillas!$D$2:$D$114=$A86)*(Plantillas!$G$2:$G$114*N(N$6)+Plantillas!$H$2:$H$114)))</f>
        <v>0</v>
      </c>
      <c r="O86" s="20" t="n">
        <f aca="false">IF(O$5="",0,SUMPRODUCT((Plantillas!$A$2:$A$114=O$5)*(Plantillas!$D$2:$D$114=$A86)*(Plantillas!$G$2:$G$114*N(O$6)+Plantillas!$H$2:$H$114)))</f>
        <v>0</v>
      </c>
      <c r="P86" s="20" t="n">
        <f aca="false">IF(P$5="",0,SUMPRODUCT((Plantillas!$A$2:$A$114=P$5)*(Plantillas!$D$2:$D$114=$A86)*(Plantillas!$G$2:$G$114*N(P$6)+Plantillas!$H$2:$H$114)))</f>
        <v>0</v>
      </c>
      <c r="Q86" s="20" t="n">
        <f aca="false">IF(Q$5="",0,SUMPRODUCT((Plantillas!$A$2:$A$114=Q$5)*(Plantillas!$D$2:$D$114=$A86)*(Plantillas!$G$2:$G$114*N(Q$6)+Plantillas!$H$2:$H$114)))</f>
        <v>0</v>
      </c>
      <c r="R86" s="20" t="n">
        <f aca="false">IF(R$5="",0,SUMPRODUCT((Plantillas!$A$2:$A$114=R$5)*(Plantillas!$D$2:$D$114=$A86)*(Plantillas!$G$2:$G$114*N(R$6)+Plantillas!$H$2:$H$114)))</f>
        <v>0</v>
      </c>
      <c r="S86" s="20" t="n">
        <f aca="false">SUM(E86:R86)</f>
        <v>0</v>
      </c>
      <c r="T86" s="21" t="str">
        <f aca="false">IF(INDEX(Partidas!$F$2:$F$99,MATCH(A86,Partidas!$A$2:$A$99,0))="","",INDEX(Partidas!$F$2:$F$99,MATCH(A86,Partidas!$A$2:$A$99,0)))</f>
        <v/>
      </c>
      <c r="U86" s="22" t="n">
        <f aca="false">IF(T86="",0,S86*T86)</f>
        <v>0</v>
      </c>
    </row>
    <row r="87" customFormat="false" ht="15" hidden="false" customHeight="false" outlineLevel="0" collapsed="false">
      <c r="A87" s="0" t="s">
        <v>340</v>
      </c>
      <c r="B87" s="0" t="s">
        <v>60</v>
      </c>
      <c r="C87" s="9" t="str">
        <f aca="false">INDEX(Partidas!$D$2:$D$99,MATCH(A87,Partidas!$A$2:$A$99,0))</f>
        <v>Montaje de cocina suministrada por la propiedad</v>
      </c>
      <c r="D87" s="9" t="str">
        <f aca="false">INDEX(Partidas!$C$2:$C$99,MATCH(A87,Partidas!$A$2:$A$99,0))</f>
        <v>pa</v>
      </c>
      <c r="E87" s="20" t="n">
        <f aca="false">IF(E$5="",0,SUMPRODUCT((Plantillas!$A$2:$A$114=E$5)*(Plantillas!$D$2:$D$114=$A87)*(Plantillas!$G$2:$G$114*N(E$6)+Plantillas!$H$2:$H$114)))</f>
        <v>0</v>
      </c>
      <c r="F87" s="20" t="n">
        <f aca="false">IF(F$5="",0,SUMPRODUCT((Plantillas!$A$2:$A$114=F$5)*(Plantillas!$D$2:$D$114=$A87)*(Plantillas!$G$2:$G$114*N(F$6)+Plantillas!$H$2:$H$114)))</f>
        <v>0</v>
      </c>
      <c r="G87" s="20" t="n">
        <f aca="false">IF(G$5="",0,SUMPRODUCT((Plantillas!$A$2:$A$114=G$5)*(Plantillas!$D$2:$D$114=$A87)*(Plantillas!$G$2:$G$114*N(G$6)+Plantillas!$H$2:$H$114)))</f>
        <v>0</v>
      </c>
      <c r="H87" s="20" t="n">
        <f aca="false">IF(H$5="",0,SUMPRODUCT((Plantillas!$A$2:$A$114=H$5)*(Plantillas!$D$2:$D$114=$A87)*(Plantillas!$G$2:$G$114*N(H$6)+Plantillas!$H$2:$H$114)))</f>
        <v>0</v>
      </c>
      <c r="I87" s="20" t="n">
        <f aca="false">IF(I$5="",0,SUMPRODUCT((Plantillas!$A$2:$A$114=I$5)*(Plantillas!$D$2:$D$114=$A87)*(Plantillas!$G$2:$G$114*N(I$6)+Plantillas!$H$2:$H$114)))</f>
        <v>0</v>
      </c>
      <c r="J87" s="20" t="n">
        <f aca="false">IF(J$5="",0,SUMPRODUCT((Plantillas!$A$2:$A$114=J$5)*(Plantillas!$D$2:$D$114=$A87)*(Plantillas!$G$2:$G$114*N(J$6)+Plantillas!$H$2:$H$114)))</f>
        <v>0</v>
      </c>
      <c r="K87" s="20" t="n">
        <f aca="false">IF(K$5="",0,SUMPRODUCT((Plantillas!$A$2:$A$114=K$5)*(Plantillas!$D$2:$D$114=$A87)*(Plantillas!$G$2:$G$114*N(K$6)+Plantillas!$H$2:$H$114)))</f>
        <v>0</v>
      </c>
      <c r="L87" s="20" t="n">
        <f aca="false">IF(L$5="",0,SUMPRODUCT((Plantillas!$A$2:$A$114=L$5)*(Plantillas!$D$2:$D$114=$A87)*(Plantillas!$G$2:$G$114*N(L$6)+Plantillas!$H$2:$H$114)))</f>
        <v>0</v>
      </c>
      <c r="M87" s="20" t="n">
        <f aca="false">IF(M$5="",0,SUMPRODUCT((Plantillas!$A$2:$A$114=M$5)*(Plantillas!$D$2:$D$114=$A87)*(Plantillas!$G$2:$G$114*N(M$6)+Plantillas!$H$2:$H$114)))</f>
        <v>0</v>
      </c>
      <c r="N87" s="20" t="n">
        <f aca="false">IF(N$5="",0,SUMPRODUCT((Plantillas!$A$2:$A$114=N$5)*(Plantillas!$D$2:$D$114=$A87)*(Plantillas!$G$2:$G$114*N(N$6)+Plantillas!$H$2:$H$114)))</f>
        <v>0</v>
      </c>
      <c r="O87" s="20" t="n">
        <f aca="false">IF(O$5="",0,SUMPRODUCT((Plantillas!$A$2:$A$114=O$5)*(Plantillas!$D$2:$D$114=$A87)*(Plantillas!$G$2:$G$114*N(O$6)+Plantillas!$H$2:$H$114)))</f>
        <v>0</v>
      </c>
      <c r="P87" s="20" t="n">
        <f aca="false">IF(P$5="",0,SUMPRODUCT((Plantillas!$A$2:$A$114=P$5)*(Plantillas!$D$2:$D$114=$A87)*(Plantillas!$G$2:$G$114*N(P$6)+Plantillas!$H$2:$H$114)))</f>
        <v>0</v>
      </c>
      <c r="Q87" s="20" t="n">
        <f aca="false">IF(Q$5="",0,SUMPRODUCT((Plantillas!$A$2:$A$114=Q$5)*(Plantillas!$D$2:$D$114=$A87)*(Plantillas!$G$2:$G$114*N(Q$6)+Plantillas!$H$2:$H$114)))</f>
        <v>0</v>
      </c>
      <c r="R87" s="20" t="n">
        <f aca="false">IF(R$5="",0,SUMPRODUCT((Plantillas!$A$2:$A$114=R$5)*(Plantillas!$D$2:$D$114=$A87)*(Plantillas!$G$2:$G$114*N(R$6)+Plantillas!$H$2:$H$114)))</f>
        <v>0</v>
      </c>
      <c r="S87" s="20" t="n">
        <f aca="false">SUM(E87:R87)</f>
        <v>0</v>
      </c>
      <c r="T87" s="21" t="str">
        <f aca="false">IF(INDEX(Partidas!$F$2:$F$99,MATCH(A87,Partidas!$A$2:$A$99,0))="","",INDEX(Partidas!$F$2:$F$99,MATCH(A87,Partidas!$A$2:$A$99,0)))</f>
        <v/>
      </c>
      <c r="U87" s="22" t="n">
        <f aca="false">IF(T87="",0,S87*T87)</f>
        <v>0</v>
      </c>
    </row>
    <row r="88" customFormat="false" ht="15" hidden="false" customHeight="false" outlineLevel="0" collapsed="false">
      <c r="A88" s="0" t="s">
        <v>343</v>
      </c>
      <c r="B88" s="0" t="s">
        <v>60</v>
      </c>
      <c r="C88" s="9" t="str">
        <f aca="false">INDEX(Partidas!$D$2:$D$99,MATCH(A88,Partidas!$A$2:$A$99,0))</f>
        <v>Conexión de electrodomésticos y fregadero</v>
      </c>
      <c r="D88" s="9" t="str">
        <f aca="false">INDEX(Partidas!$C$2:$C$99,MATCH(A88,Partidas!$A$2:$A$99,0))</f>
        <v>pa</v>
      </c>
      <c r="E88" s="20" t="n">
        <f aca="false">IF(E$5="",0,SUMPRODUCT((Plantillas!$A$2:$A$114=E$5)*(Plantillas!$D$2:$D$114=$A88)*(Plantillas!$G$2:$G$114*N(E$6)+Plantillas!$H$2:$H$114)))</f>
        <v>0</v>
      </c>
      <c r="F88" s="20" t="n">
        <f aca="false">IF(F$5="",0,SUMPRODUCT((Plantillas!$A$2:$A$114=F$5)*(Plantillas!$D$2:$D$114=$A88)*(Plantillas!$G$2:$G$114*N(F$6)+Plantillas!$H$2:$H$114)))</f>
        <v>0</v>
      </c>
      <c r="G88" s="20" t="n">
        <f aca="false">IF(G$5="",0,SUMPRODUCT((Plantillas!$A$2:$A$114=G$5)*(Plantillas!$D$2:$D$114=$A88)*(Plantillas!$G$2:$G$114*N(G$6)+Plantillas!$H$2:$H$114)))</f>
        <v>0</v>
      </c>
      <c r="H88" s="20" t="n">
        <f aca="false">IF(H$5="",0,SUMPRODUCT((Plantillas!$A$2:$A$114=H$5)*(Plantillas!$D$2:$D$114=$A88)*(Plantillas!$G$2:$G$114*N(H$6)+Plantillas!$H$2:$H$114)))</f>
        <v>0</v>
      </c>
      <c r="I88" s="20" t="n">
        <f aca="false">IF(I$5="",0,SUMPRODUCT((Plantillas!$A$2:$A$114=I$5)*(Plantillas!$D$2:$D$114=$A88)*(Plantillas!$G$2:$G$114*N(I$6)+Plantillas!$H$2:$H$114)))</f>
        <v>0</v>
      </c>
      <c r="J88" s="20" t="n">
        <f aca="false">IF(J$5="",0,SUMPRODUCT((Plantillas!$A$2:$A$114=J$5)*(Plantillas!$D$2:$D$114=$A88)*(Plantillas!$G$2:$G$114*N(J$6)+Plantillas!$H$2:$H$114)))</f>
        <v>0</v>
      </c>
      <c r="K88" s="20" t="n">
        <f aca="false">IF(K$5="",0,SUMPRODUCT((Plantillas!$A$2:$A$114=K$5)*(Plantillas!$D$2:$D$114=$A88)*(Plantillas!$G$2:$G$114*N(K$6)+Plantillas!$H$2:$H$114)))</f>
        <v>0</v>
      </c>
      <c r="L88" s="20" t="n">
        <f aca="false">IF(L$5="",0,SUMPRODUCT((Plantillas!$A$2:$A$114=L$5)*(Plantillas!$D$2:$D$114=$A88)*(Plantillas!$G$2:$G$114*N(L$6)+Plantillas!$H$2:$H$114)))</f>
        <v>1</v>
      </c>
      <c r="M88" s="20" t="n">
        <f aca="false">IF(M$5="",0,SUMPRODUCT((Plantillas!$A$2:$A$114=M$5)*(Plantillas!$D$2:$D$114=$A88)*(Plantillas!$G$2:$G$114*N(M$6)+Plantillas!$H$2:$H$114)))</f>
        <v>0</v>
      </c>
      <c r="N88" s="20" t="n">
        <f aca="false">IF(N$5="",0,SUMPRODUCT((Plantillas!$A$2:$A$114=N$5)*(Plantillas!$D$2:$D$114=$A88)*(Plantillas!$G$2:$G$114*N(N$6)+Plantillas!$H$2:$H$114)))</f>
        <v>0</v>
      </c>
      <c r="O88" s="20" t="n">
        <f aca="false">IF(O$5="",0,SUMPRODUCT((Plantillas!$A$2:$A$114=O$5)*(Plantillas!$D$2:$D$114=$A88)*(Plantillas!$G$2:$G$114*N(O$6)+Plantillas!$H$2:$H$114)))</f>
        <v>0</v>
      </c>
      <c r="P88" s="20" t="n">
        <f aca="false">IF(P$5="",0,SUMPRODUCT((Plantillas!$A$2:$A$114=P$5)*(Plantillas!$D$2:$D$114=$A88)*(Plantillas!$G$2:$G$114*N(P$6)+Plantillas!$H$2:$H$114)))</f>
        <v>0</v>
      </c>
      <c r="Q88" s="20" t="n">
        <f aca="false">IF(Q$5="",0,SUMPRODUCT((Plantillas!$A$2:$A$114=Q$5)*(Plantillas!$D$2:$D$114=$A88)*(Plantillas!$G$2:$G$114*N(Q$6)+Plantillas!$H$2:$H$114)))</f>
        <v>0</v>
      </c>
      <c r="R88" s="20" t="n">
        <f aca="false">IF(R$5="",0,SUMPRODUCT((Plantillas!$A$2:$A$114=R$5)*(Plantillas!$D$2:$D$114=$A88)*(Plantillas!$G$2:$G$114*N(R$6)+Plantillas!$H$2:$H$114)))</f>
        <v>0</v>
      </c>
      <c r="S88" s="20" t="n">
        <f aca="false">SUM(E88:R88)</f>
        <v>1</v>
      </c>
      <c r="T88" s="21" t="str">
        <f aca="false">IF(INDEX(Partidas!$F$2:$F$99,MATCH(A88,Partidas!$A$2:$A$99,0))="","",INDEX(Partidas!$F$2:$F$99,MATCH(A88,Partidas!$A$2:$A$99,0)))</f>
        <v/>
      </c>
      <c r="U88" s="22" t="n">
        <f aca="false">IF(T88="",0,S88*T88)</f>
        <v>0</v>
      </c>
    </row>
    <row r="89" customFormat="false" ht="15" hidden="false" customHeight="false" outlineLevel="0" collapsed="false">
      <c r="A89" s="17" t="s">
        <v>63</v>
      </c>
      <c r="B89" s="18"/>
      <c r="C89" s="17" t="s">
        <v>64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9" t="n">
        <f aca="false">SUM(U90:U102)</f>
        <v>6035</v>
      </c>
    </row>
    <row r="90" customFormat="false" ht="15" hidden="false" customHeight="false" outlineLevel="0" collapsed="false">
      <c r="A90" s="0" t="s">
        <v>346</v>
      </c>
      <c r="B90" s="0" t="s">
        <v>63</v>
      </c>
      <c r="C90" s="9" t="str">
        <f aca="false">INDEX(Partidas!$D$2:$D$99,MATCH(A90,Partidas!$A$2:$A$99,0))</f>
        <v>Instalación eléctrica: cuadro, circuitos y boletín</v>
      </c>
      <c r="D90" s="9" t="str">
        <f aca="false">INDEX(Partidas!$C$2:$C$99,MATCH(A90,Partidas!$A$2:$A$99,0))</f>
        <v>pa</v>
      </c>
      <c r="E90" s="20" t="n">
        <f aca="false">IF(E$5="",0,SUMPRODUCT((Plantillas!$A$2:$A$114=E$5)*(Plantillas!$D$2:$D$114=$A90)*(Plantillas!$G$2:$G$114*N(E$6)+Plantillas!$H$2:$H$114)))</f>
        <v>1</v>
      </c>
      <c r="F90" s="20" t="n">
        <f aca="false">IF(F$5="",0,SUMPRODUCT((Plantillas!$A$2:$A$114=F$5)*(Plantillas!$D$2:$D$114=$A90)*(Plantillas!$G$2:$G$114*N(F$6)+Plantillas!$H$2:$H$114)))</f>
        <v>0</v>
      </c>
      <c r="G90" s="20" t="n">
        <f aca="false">IF(G$5="",0,SUMPRODUCT((Plantillas!$A$2:$A$114=G$5)*(Plantillas!$D$2:$D$114=$A90)*(Plantillas!$G$2:$G$114*N(G$6)+Plantillas!$H$2:$H$114)))</f>
        <v>0</v>
      </c>
      <c r="H90" s="20" t="n">
        <f aca="false">IF(H$5="",0,SUMPRODUCT((Plantillas!$A$2:$A$114=H$5)*(Plantillas!$D$2:$D$114=$A90)*(Plantillas!$G$2:$G$114*N(H$6)+Plantillas!$H$2:$H$114)))</f>
        <v>0</v>
      </c>
      <c r="I90" s="20" t="n">
        <f aca="false">IF(I$5="",0,SUMPRODUCT((Plantillas!$A$2:$A$114=I$5)*(Plantillas!$D$2:$D$114=$A90)*(Plantillas!$G$2:$G$114*N(I$6)+Plantillas!$H$2:$H$114)))</f>
        <v>0</v>
      </c>
      <c r="J90" s="20" t="n">
        <f aca="false">IF(J$5="",0,SUMPRODUCT((Plantillas!$A$2:$A$114=J$5)*(Plantillas!$D$2:$D$114=$A90)*(Plantillas!$G$2:$G$114*N(J$6)+Plantillas!$H$2:$H$114)))</f>
        <v>0</v>
      </c>
      <c r="K90" s="20" t="n">
        <f aca="false">IF(K$5="",0,SUMPRODUCT((Plantillas!$A$2:$A$114=K$5)*(Plantillas!$D$2:$D$114=$A90)*(Plantillas!$G$2:$G$114*N(K$6)+Plantillas!$H$2:$H$114)))</f>
        <v>0</v>
      </c>
      <c r="L90" s="20" t="n">
        <f aca="false">IF(L$5="",0,SUMPRODUCT((Plantillas!$A$2:$A$114=L$5)*(Plantillas!$D$2:$D$114=$A90)*(Plantillas!$G$2:$G$114*N(L$6)+Plantillas!$H$2:$H$114)))</f>
        <v>0</v>
      </c>
      <c r="M90" s="20" t="n">
        <f aca="false">IF(M$5="",0,SUMPRODUCT((Plantillas!$A$2:$A$114=M$5)*(Plantillas!$D$2:$D$114=$A90)*(Plantillas!$G$2:$G$114*N(M$6)+Plantillas!$H$2:$H$114)))</f>
        <v>0</v>
      </c>
      <c r="N90" s="20" t="n">
        <f aca="false">IF(N$5="",0,SUMPRODUCT((Plantillas!$A$2:$A$114=N$5)*(Plantillas!$D$2:$D$114=$A90)*(Plantillas!$G$2:$G$114*N(N$6)+Plantillas!$H$2:$H$114)))</f>
        <v>0</v>
      </c>
      <c r="O90" s="20" t="n">
        <f aca="false">IF(O$5="",0,SUMPRODUCT((Plantillas!$A$2:$A$114=O$5)*(Plantillas!$D$2:$D$114=$A90)*(Plantillas!$G$2:$G$114*N(O$6)+Plantillas!$H$2:$H$114)))</f>
        <v>0</v>
      </c>
      <c r="P90" s="20" t="n">
        <f aca="false">IF(P$5="",0,SUMPRODUCT((Plantillas!$A$2:$A$114=P$5)*(Plantillas!$D$2:$D$114=$A90)*(Plantillas!$G$2:$G$114*N(P$6)+Plantillas!$H$2:$H$114)))</f>
        <v>0</v>
      </c>
      <c r="Q90" s="20" t="n">
        <f aca="false">IF(Q$5="",0,SUMPRODUCT((Plantillas!$A$2:$A$114=Q$5)*(Plantillas!$D$2:$D$114=$A90)*(Plantillas!$G$2:$G$114*N(Q$6)+Plantillas!$H$2:$H$114)))</f>
        <v>0</v>
      </c>
      <c r="R90" s="20" t="n">
        <f aca="false">IF(R$5="",0,SUMPRODUCT((Plantillas!$A$2:$A$114=R$5)*(Plantillas!$D$2:$D$114=$A90)*(Plantillas!$G$2:$G$114*N(R$6)+Plantillas!$H$2:$H$114)))</f>
        <v>0</v>
      </c>
      <c r="S90" s="20" t="n">
        <f aca="false">SUM(E90:R90)</f>
        <v>1</v>
      </c>
      <c r="T90" s="21" t="n">
        <f aca="false">IF(INDEX(Partidas!$F$2:$F$99,MATCH(A90,Partidas!$A$2:$A$99,0))="","",INDEX(Partidas!$F$2:$F$99,MATCH(A90,Partidas!$A$2:$A$99,0)))</f>
        <v>2850</v>
      </c>
      <c r="U90" s="22" t="n">
        <f aca="false">IF(T90="",0,S90*T90)</f>
        <v>2850</v>
      </c>
    </row>
    <row r="91" customFormat="false" ht="15" hidden="false" customHeight="false" outlineLevel="0" collapsed="false">
      <c r="A91" s="0" t="s">
        <v>350</v>
      </c>
      <c r="B91" s="0" t="s">
        <v>63</v>
      </c>
      <c r="C91" s="9" t="str">
        <f aca="false">INDEX(Partidas!$D$2:$D$99,MATCH(A91,Partidas!$A$2:$A$99,0))</f>
        <v>Punto de luz sencillo</v>
      </c>
      <c r="D91" s="9" t="str">
        <f aca="false">INDEX(Partidas!$C$2:$C$99,MATCH(A91,Partidas!$A$2:$A$99,0))</f>
        <v>ud</v>
      </c>
      <c r="E91" s="20" t="n">
        <f aca="false">IF(E$5="",0,SUMPRODUCT((Plantillas!$A$2:$A$114=E$5)*(Plantillas!$D$2:$D$114=$A91)*(Plantillas!$G$2:$G$114*N(E$6)+Plantillas!$H$2:$H$114)))</f>
        <v>0</v>
      </c>
      <c r="F91" s="20" t="n">
        <f aca="false">IF(F$5="",0,SUMPRODUCT((Plantillas!$A$2:$A$114=F$5)*(Plantillas!$D$2:$D$114=$A91)*(Plantillas!$G$2:$G$114*N(F$6)+Plantillas!$H$2:$H$114)))</f>
        <v>0</v>
      </c>
      <c r="G91" s="20" t="n">
        <f aca="false">IF(G$5="",0,SUMPRODUCT((Plantillas!$A$2:$A$114=G$5)*(Plantillas!$D$2:$D$114=$A91)*(Plantillas!$G$2:$G$114*N(G$6)+Plantillas!$H$2:$H$114)))</f>
        <v>1</v>
      </c>
      <c r="H91" s="20" t="n">
        <f aca="false">IF(H$5="",0,SUMPRODUCT((Plantillas!$A$2:$A$114=H$5)*(Plantillas!$D$2:$D$114=$A91)*(Plantillas!$G$2:$G$114*N(H$6)+Plantillas!$H$2:$H$114)))</f>
        <v>1</v>
      </c>
      <c r="I91" s="20" t="n">
        <f aca="false">IF(I$5="",0,SUMPRODUCT((Plantillas!$A$2:$A$114=I$5)*(Plantillas!$D$2:$D$114=$A91)*(Plantillas!$G$2:$G$114*N(I$6)+Plantillas!$H$2:$H$114)))</f>
        <v>1</v>
      </c>
      <c r="J91" s="20" t="n">
        <f aca="false">IF(J$5="",0,SUMPRODUCT((Plantillas!$A$2:$A$114=J$5)*(Plantillas!$D$2:$D$114=$A91)*(Plantillas!$G$2:$G$114*N(J$6)+Plantillas!$H$2:$H$114)))</f>
        <v>0</v>
      </c>
      <c r="K91" s="20" t="n">
        <f aca="false">IF(K$5="",0,SUMPRODUCT((Plantillas!$A$2:$A$114=K$5)*(Plantillas!$D$2:$D$114=$A91)*(Plantillas!$G$2:$G$114*N(K$6)+Plantillas!$H$2:$H$114)))</f>
        <v>0</v>
      </c>
      <c r="L91" s="20" t="n">
        <f aca="false">IF(L$5="",0,SUMPRODUCT((Plantillas!$A$2:$A$114=L$5)*(Plantillas!$D$2:$D$114=$A91)*(Plantillas!$G$2:$G$114*N(L$6)+Plantillas!$H$2:$H$114)))</f>
        <v>0</v>
      </c>
      <c r="M91" s="20" t="n">
        <f aca="false">IF(M$5="",0,SUMPRODUCT((Plantillas!$A$2:$A$114=M$5)*(Plantillas!$D$2:$D$114=$A91)*(Plantillas!$G$2:$G$114*N(M$6)+Plantillas!$H$2:$H$114)))</f>
        <v>1</v>
      </c>
      <c r="N91" s="20" t="n">
        <f aca="false">IF(N$5="",0,SUMPRODUCT((Plantillas!$A$2:$A$114=N$5)*(Plantillas!$D$2:$D$114=$A91)*(Plantillas!$G$2:$G$114*N(N$6)+Plantillas!$H$2:$H$114)))</f>
        <v>1</v>
      </c>
      <c r="O91" s="20" t="n">
        <f aca="false">IF(O$5="",0,SUMPRODUCT((Plantillas!$A$2:$A$114=O$5)*(Plantillas!$D$2:$D$114=$A91)*(Plantillas!$G$2:$G$114*N(O$6)+Plantillas!$H$2:$H$114)))</f>
        <v>1</v>
      </c>
      <c r="P91" s="20" t="n">
        <f aca="false">IF(P$5="",0,SUMPRODUCT((Plantillas!$A$2:$A$114=P$5)*(Plantillas!$D$2:$D$114=$A91)*(Plantillas!$G$2:$G$114*N(P$6)+Plantillas!$H$2:$H$114)))</f>
        <v>0</v>
      </c>
      <c r="Q91" s="20" t="n">
        <f aca="false">IF(Q$5="",0,SUMPRODUCT((Plantillas!$A$2:$A$114=Q$5)*(Plantillas!$D$2:$D$114=$A91)*(Plantillas!$G$2:$G$114*N(Q$6)+Plantillas!$H$2:$H$114)))</f>
        <v>0</v>
      </c>
      <c r="R91" s="20" t="n">
        <f aca="false">IF(R$5="",0,SUMPRODUCT((Plantillas!$A$2:$A$114=R$5)*(Plantillas!$D$2:$D$114=$A91)*(Plantillas!$G$2:$G$114*N(R$6)+Plantillas!$H$2:$H$114)))</f>
        <v>0</v>
      </c>
      <c r="S91" s="20" t="n">
        <f aca="false">SUM(E91:R91)</f>
        <v>6</v>
      </c>
      <c r="T91" s="21" t="n">
        <f aca="false">IF(INDEX(Partidas!$F$2:$F$99,MATCH(A91,Partidas!$A$2:$A$99,0))="","",INDEX(Partidas!$F$2:$F$99,MATCH(A91,Partidas!$A$2:$A$99,0)))</f>
        <v>50</v>
      </c>
      <c r="U91" s="22" t="n">
        <f aca="false">IF(T91="",0,S91*T91)</f>
        <v>300</v>
      </c>
    </row>
    <row r="92" customFormat="false" ht="15" hidden="false" customHeight="false" outlineLevel="0" collapsed="false">
      <c r="A92" s="0" t="s">
        <v>354</v>
      </c>
      <c r="B92" s="0" t="s">
        <v>63</v>
      </c>
      <c r="C92" s="9" t="str">
        <f aca="false">INDEX(Partidas!$D$2:$D$99,MATCH(A92,Partidas!$A$2:$A$99,0))</f>
        <v>Punto de luz adicional en el mismo circuito</v>
      </c>
      <c r="D92" s="9" t="str">
        <f aca="false">INDEX(Partidas!$C$2:$C$99,MATCH(A92,Partidas!$A$2:$A$99,0))</f>
        <v>ud</v>
      </c>
      <c r="E92" s="20" t="n">
        <f aca="false">IF(E$5="",0,SUMPRODUCT((Plantillas!$A$2:$A$114=E$5)*(Plantillas!$D$2:$D$114=$A92)*(Plantillas!$G$2:$G$114*N(E$6)+Plantillas!$H$2:$H$114)))</f>
        <v>0</v>
      </c>
      <c r="F92" s="20" t="n">
        <f aca="false">IF(F$5="",0,SUMPRODUCT((Plantillas!$A$2:$A$114=F$5)*(Plantillas!$D$2:$D$114=$A92)*(Plantillas!$G$2:$G$114*N(F$6)+Plantillas!$H$2:$H$114)))</f>
        <v>4</v>
      </c>
      <c r="G92" s="20" t="n">
        <f aca="false">IF(G$5="",0,SUMPRODUCT((Plantillas!$A$2:$A$114=G$5)*(Plantillas!$D$2:$D$114=$A92)*(Plantillas!$G$2:$G$114*N(G$6)+Plantillas!$H$2:$H$114)))</f>
        <v>1</v>
      </c>
      <c r="H92" s="20" t="n">
        <f aca="false">IF(H$5="",0,SUMPRODUCT((Plantillas!$A$2:$A$114=H$5)*(Plantillas!$D$2:$D$114=$A92)*(Plantillas!$G$2:$G$114*N(H$6)+Plantillas!$H$2:$H$114)))</f>
        <v>1</v>
      </c>
      <c r="I92" s="20" t="n">
        <f aca="false">IF(I$5="",0,SUMPRODUCT((Plantillas!$A$2:$A$114=I$5)*(Plantillas!$D$2:$D$114=$A92)*(Plantillas!$G$2:$G$114*N(I$6)+Plantillas!$H$2:$H$114)))</f>
        <v>1</v>
      </c>
      <c r="J92" s="20" t="n">
        <f aca="false">IF(J$5="",0,SUMPRODUCT((Plantillas!$A$2:$A$114=J$5)*(Plantillas!$D$2:$D$114=$A92)*(Plantillas!$G$2:$G$114*N(J$6)+Plantillas!$H$2:$H$114)))</f>
        <v>1</v>
      </c>
      <c r="K92" s="20" t="n">
        <f aca="false">IF(K$5="",0,SUMPRODUCT((Plantillas!$A$2:$A$114=K$5)*(Plantillas!$D$2:$D$114=$A92)*(Plantillas!$G$2:$G$114*N(K$6)+Plantillas!$H$2:$H$114)))</f>
        <v>1</v>
      </c>
      <c r="L92" s="20" t="n">
        <f aca="false">IF(L$5="",0,SUMPRODUCT((Plantillas!$A$2:$A$114=L$5)*(Plantillas!$D$2:$D$114=$A92)*(Plantillas!$G$2:$G$114*N(L$6)+Plantillas!$H$2:$H$114)))</f>
        <v>2</v>
      </c>
      <c r="M92" s="20" t="n">
        <f aca="false">IF(M$5="",0,SUMPRODUCT((Plantillas!$A$2:$A$114=M$5)*(Plantillas!$D$2:$D$114=$A92)*(Plantillas!$G$2:$G$114*N(M$6)+Plantillas!$H$2:$H$114)))</f>
        <v>0</v>
      </c>
      <c r="N92" s="20" t="n">
        <f aca="false">IF(N$5="",0,SUMPRODUCT((Plantillas!$A$2:$A$114=N$5)*(Plantillas!$D$2:$D$114=$A92)*(Plantillas!$G$2:$G$114*N(N$6)+Plantillas!$H$2:$H$114)))</f>
        <v>1</v>
      </c>
      <c r="O92" s="20" t="n">
        <f aca="false">IF(O$5="",0,SUMPRODUCT((Plantillas!$A$2:$A$114=O$5)*(Plantillas!$D$2:$D$114=$A92)*(Plantillas!$G$2:$G$114*N(O$6)+Plantillas!$H$2:$H$114)))</f>
        <v>1</v>
      </c>
      <c r="P92" s="20" t="n">
        <f aca="false">IF(P$5="",0,SUMPRODUCT((Plantillas!$A$2:$A$114=P$5)*(Plantillas!$D$2:$D$114=$A92)*(Plantillas!$G$2:$G$114*N(P$6)+Plantillas!$H$2:$H$114)))</f>
        <v>0</v>
      </c>
      <c r="Q92" s="20" t="n">
        <f aca="false">IF(Q$5="",0,SUMPRODUCT((Plantillas!$A$2:$A$114=Q$5)*(Plantillas!$D$2:$D$114=$A92)*(Plantillas!$G$2:$G$114*N(Q$6)+Plantillas!$H$2:$H$114)))</f>
        <v>0</v>
      </c>
      <c r="R92" s="20" t="n">
        <f aca="false">IF(R$5="",0,SUMPRODUCT((Plantillas!$A$2:$A$114=R$5)*(Plantillas!$D$2:$D$114=$A92)*(Plantillas!$G$2:$G$114*N(R$6)+Plantillas!$H$2:$H$114)))</f>
        <v>0</v>
      </c>
      <c r="S92" s="20" t="n">
        <f aca="false">SUM(E92:R92)</f>
        <v>13</v>
      </c>
      <c r="T92" s="21" t="n">
        <f aca="false">IF(INDEX(Partidas!$F$2:$F$99,MATCH(A92,Partidas!$A$2:$A$99,0))="","",INDEX(Partidas!$F$2:$F$99,MATCH(A92,Partidas!$A$2:$A$99,0)))</f>
        <v>10</v>
      </c>
      <c r="U92" s="22" t="n">
        <f aca="false">IF(T92="",0,S92*T92)</f>
        <v>130</v>
      </c>
    </row>
    <row r="93" customFormat="false" ht="15" hidden="false" customHeight="false" outlineLevel="0" collapsed="false">
      <c r="A93" s="0" t="s">
        <v>358</v>
      </c>
      <c r="B93" s="0" t="s">
        <v>63</v>
      </c>
      <c r="C93" s="9" t="str">
        <f aca="false">INDEX(Partidas!$D$2:$D$99,MATCH(A93,Partidas!$A$2:$A$99,0))</f>
        <v>Punto de luz conmutado</v>
      </c>
      <c r="D93" s="9" t="str">
        <f aca="false">INDEX(Partidas!$C$2:$C$99,MATCH(A93,Partidas!$A$2:$A$99,0))</f>
        <v>ud</v>
      </c>
      <c r="E93" s="20" t="n">
        <f aca="false">IF(E$5="",0,SUMPRODUCT((Plantillas!$A$2:$A$114=E$5)*(Plantillas!$D$2:$D$114=$A93)*(Plantillas!$G$2:$G$114*N(E$6)+Plantillas!$H$2:$H$114)))</f>
        <v>0</v>
      </c>
      <c r="F93" s="20" t="n">
        <f aca="false">IF(F$5="",0,SUMPRODUCT((Plantillas!$A$2:$A$114=F$5)*(Plantillas!$D$2:$D$114=$A93)*(Plantillas!$G$2:$G$114*N(F$6)+Plantillas!$H$2:$H$114)))</f>
        <v>2</v>
      </c>
      <c r="G93" s="20" t="n">
        <f aca="false">IF(G$5="",0,SUMPRODUCT((Plantillas!$A$2:$A$114=G$5)*(Plantillas!$D$2:$D$114=$A93)*(Plantillas!$G$2:$G$114*N(G$6)+Plantillas!$H$2:$H$114)))</f>
        <v>1</v>
      </c>
      <c r="H93" s="20" t="n">
        <f aca="false">IF(H$5="",0,SUMPRODUCT((Plantillas!$A$2:$A$114=H$5)*(Plantillas!$D$2:$D$114=$A93)*(Plantillas!$G$2:$G$114*N(H$6)+Plantillas!$H$2:$H$114)))</f>
        <v>1</v>
      </c>
      <c r="I93" s="20" t="n">
        <f aca="false">IF(I$5="",0,SUMPRODUCT((Plantillas!$A$2:$A$114=I$5)*(Plantillas!$D$2:$D$114=$A93)*(Plantillas!$G$2:$G$114*N(I$6)+Plantillas!$H$2:$H$114)))</f>
        <v>1</v>
      </c>
      <c r="J93" s="20" t="n">
        <f aca="false">IF(J$5="",0,SUMPRODUCT((Plantillas!$A$2:$A$114=J$5)*(Plantillas!$D$2:$D$114=$A93)*(Plantillas!$G$2:$G$114*N(J$6)+Plantillas!$H$2:$H$114)))</f>
        <v>1</v>
      </c>
      <c r="K93" s="20" t="n">
        <f aca="false">IF(K$5="",0,SUMPRODUCT((Plantillas!$A$2:$A$114=K$5)*(Plantillas!$D$2:$D$114=$A93)*(Plantillas!$G$2:$G$114*N(K$6)+Plantillas!$H$2:$H$114)))</f>
        <v>1</v>
      </c>
      <c r="L93" s="20" t="n">
        <f aca="false">IF(L$5="",0,SUMPRODUCT((Plantillas!$A$2:$A$114=L$5)*(Plantillas!$D$2:$D$114=$A93)*(Plantillas!$G$2:$G$114*N(L$6)+Plantillas!$H$2:$H$114)))</f>
        <v>1</v>
      </c>
      <c r="M93" s="20" t="n">
        <f aca="false">IF(M$5="",0,SUMPRODUCT((Plantillas!$A$2:$A$114=M$5)*(Plantillas!$D$2:$D$114=$A93)*(Plantillas!$G$2:$G$114*N(M$6)+Plantillas!$H$2:$H$114)))</f>
        <v>0</v>
      </c>
      <c r="N93" s="20" t="n">
        <f aca="false">IF(N$5="",0,SUMPRODUCT((Plantillas!$A$2:$A$114=N$5)*(Plantillas!$D$2:$D$114=$A93)*(Plantillas!$G$2:$G$114*N(N$6)+Plantillas!$H$2:$H$114)))</f>
        <v>0</v>
      </c>
      <c r="O93" s="20" t="n">
        <f aca="false">IF(O$5="",0,SUMPRODUCT((Plantillas!$A$2:$A$114=O$5)*(Plantillas!$D$2:$D$114=$A93)*(Plantillas!$G$2:$G$114*N(O$6)+Plantillas!$H$2:$H$114)))</f>
        <v>0</v>
      </c>
      <c r="P93" s="20" t="n">
        <f aca="false">IF(P$5="",0,SUMPRODUCT((Plantillas!$A$2:$A$114=P$5)*(Plantillas!$D$2:$D$114=$A93)*(Plantillas!$G$2:$G$114*N(P$6)+Plantillas!$H$2:$H$114)))</f>
        <v>0</v>
      </c>
      <c r="Q93" s="20" t="n">
        <f aca="false">IF(Q$5="",0,SUMPRODUCT((Plantillas!$A$2:$A$114=Q$5)*(Plantillas!$D$2:$D$114=$A93)*(Plantillas!$G$2:$G$114*N(Q$6)+Plantillas!$H$2:$H$114)))</f>
        <v>0</v>
      </c>
      <c r="R93" s="20" t="n">
        <f aca="false">IF(R$5="",0,SUMPRODUCT((Plantillas!$A$2:$A$114=R$5)*(Plantillas!$D$2:$D$114=$A93)*(Plantillas!$G$2:$G$114*N(R$6)+Plantillas!$H$2:$H$114)))</f>
        <v>0</v>
      </c>
      <c r="S93" s="20" t="n">
        <f aca="false">SUM(E93:R93)</f>
        <v>8</v>
      </c>
      <c r="T93" s="21" t="n">
        <f aca="false">IF(INDEX(Partidas!$F$2:$F$99,MATCH(A93,Partidas!$A$2:$A$99,0))="","",INDEX(Partidas!$F$2:$F$99,MATCH(A93,Partidas!$A$2:$A$99,0)))</f>
        <v>85</v>
      </c>
      <c r="U93" s="22" t="n">
        <f aca="false">IF(T93="",0,S93*T93)</f>
        <v>680</v>
      </c>
    </row>
    <row r="94" customFormat="false" ht="15" hidden="false" customHeight="false" outlineLevel="0" collapsed="false">
      <c r="A94" s="0" t="s">
        <v>362</v>
      </c>
      <c r="B94" s="0" t="s">
        <v>63</v>
      </c>
      <c r="C94" s="9" t="str">
        <f aca="false">INDEX(Partidas!$D$2:$D$99,MATCH(A94,Partidas!$A$2:$A$99,0))</f>
        <v>Punto de luz de cruce</v>
      </c>
      <c r="D94" s="9" t="str">
        <f aca="false">INDEX(Partidas!$C$2:$C$99,MATCH(A94,Partidas!$A$2:$A$99,0))</f>
        <v>ud</v>
      </c>
      <c r="E94" s="20" t="n">
        <f aca="false">IF(E$5="",0,SUMPRODUCT((Plantillas!$A$2:$A$114=E$5)*(Plantillas!$D$2:$D$114=$A94)*(Plantillas!$G$2:$G$114*N(E$6)+Plantillas!$H$2:$H$114)))</f>
        <v>0</v>
      </c>
      <c r="F94" s="20" t="n">
        <f aca="false">IF(F$5="",0,SUMPRODUCT((Plantillas!$A$2:$A$114=F$5)*(Plantillas!$D$2:$D$114=$A94)*(Plantillas!$G$2:$G$114*N(F$6)+Plantillas!$H$2:$H$114)))</f>
        <v>1</v>
      </c>
      <c r="G94" s="20" t="n">
        <f aca="false">IF(G$5="",0,SUMPRODUCT((Plantillas!$A$2:$A$114=G$5)*(Plantillas!$D$2:$D$114=$A94)*(Plantillas!$G$2:$G$114*N(G$6)+Plantillas!$H$2:$H$114)))</f>
        <v>0</v>
      </c>
      <c r="H94" s="20" t="n">
        <f aca="false">IF(H$5="",0,SUMPRODUCT((Plantillas!$A$2:$A$114=H$5)*(Plantillas!$D$2:$D$114=$A94)*(Plantillas!$G$2:$G$114*N(H$6)+Plantillas!$H$2:$H$114)))</f>
        <v>0</v>
      </c>
      <c r="I94" s="20" t="n">
        <f aca="false">IF(I$5="",0,SUMPRODUCT((Plantillas!$A$2:$A$114=I$5)*(Plantillas!$D$2:$D$114=$A94)*(Plantillas!$G$2:$G$114*N(I$6)+Plantillas!$H$2:$H$114)))</f>
        <v>0</v>
      </c>
      <c r="J94" s="20" t="n">
        <f aca="false">IF(J$5="",0,SUMPRODUCT((Plantillas!$A$2:$A$114=J$5)*(Plantillas!$D$2:$D$114=$A94)*(Plantillas!$G$2:$G$114*N(J$6)+Plantillas!$H$2:$H$114)))</f>
        <v>0</v>
      </c>
      <c r="K94" s="20" t="n">
        <f aca="false">IF(K$5="",0,SUMPRODUCT((Plantillas!$A$2:$A$114=K$5)*(Plantillas!$D$2:$D$114=$A94)*(Plantillas!$G$2:$G$114*N(K$6)+Plantillas!$H$2:$H$114)))</f>
        <v>0</v>
      </c>
      <c r="L94" s="20" t="n">
        <f aca="false">IF(L$5="",0,SUMPRODUCT((Plantillas!$A$2:$A$114=L$5)*(Plantillas!$D$2:$D$114=$A94)*(Plantillas!$G$2:$G$114*N(L$6)+Plantillas!$H$2:$H$114)))</f>
        <v>0</v>
      </c>
      <c r="M94" s="20" t="n">
        <f aca="false">IF(M$5="",0,SUMPRODUCT((Plantillas!$A$2:$A$114=M$5)*(Plantillas!$D$2:$D$114=$A94)*(Plantillas!$G$2:$G$114*N(M$6)+Plantillas!$H$2:$H$114)))</f>
        <v>0</v>
      </c>
      <c r="N94" s="20" t="n">
        <f aca="false">IF(N$5="",0,SUMPRODUCT((Plantillas!$A$2:$A$114=N$5)*(Plantillas!$D$2:$D$114=$A94)*(Plantillas!$G$2:$G$114*N(N$6)+Plantillas!$H$2:$H$114)))</f>
        <v>0</v>
      </c>
      <c r="O94" s="20" t="n">
        <f aca="false">IF(O$5="",0,SUMPRODUCT((Plantillas!$A$2:$A$114=O$5)*(Plantillas!$D$2:$D$114=$A94)*(Plantillas!$G$2:$G$114*N(O$6)+Plantillas!$H$2:$H$114)))</f>
        <v>0</v>
      </c>
      <c r="P94" s="20" t="n">
        <f aca="false">IF(P$5="",0,SUMPRODUCT((Plantillas!$A$2:$A$114=P$5)*(Plantillas!$D$2:$D$114=$A94)*(Plantillas!$G$2:$G$114*N(P$6)+Plantillas!$H$2:$H$114)))</f>
        <v>0</v>
      </c>
      <c r="Q94" s="20" t="n">
        <f aca="false">IF(Q$5="",0,SUMPRODUCT((Plantillas!$A$2:$A$114=Q$5)*(Plantillas!$D$2:$D$114=$A94)*(Plantillas!$G$2:$G$114*N(Q$6)+Plantillas!$H$2:$H$114)))</f>
        <v>0</v>
      </c>
      <c r="R94" s="20" t="n">
        <f aca="false">IF(R$5="",0,SUMPRODUCT((Plantillas!$A$2:$A$114=R$5)*(Plantillas!$D$2:$D$114=$A94)*(Plantillas!$G$2:$G$114*N(R$6)+Plantillas!$H$2:$H$114)))</f>
        <v>0</v>
      </c>
      <c r="S94" s="20" t="n">
        <f aca="false">SUM(E94:R94)</f>
        <v>1</v>
      </c>
      <c r="T94" s="21" t="n">
        <f aca="false">IF(INDEX(Partidas!$F$2:$F$99,MATCH(A94,Partidas!$A$2:$A$99,0))="","",INDEX(Partidas!$F$2:$F$99,MATCH(A94,Partidas!$A$2:$A$99,0)))</f>
        <v>120</v>
      </c>
      <c r="U94" s="22" t="n">
        <f aca="false">IF(T94="",0,S94*T94)</f>
        <v>120</v>
      </c>
    </row>
    <row r="95" customFormat="false" ht="15" hidden="false" customHeight="false" outlineLevel="0" collapsed="false">
      <c r="A95" s="0" t="s">
        <v>366</v>
      </c>
      <c r="B95" s="0" t="s">
        <v>63</v>
      </c>
      <c r="C95" s="9" t="str">
        <f aca="false">INDEX(Partidas!$D$2:$D$99,MATCH(A95,Partidas!$A$2:$A$99,0))</f>
        <v>Toma de corriente</v>
      </c>
      <c r="D95" s="9" t="str">
        <f aca="false">INDEX(Partidas!$C$2:$C$99,MATCH(A95,Partidas!$A$2:$A$99,0))</f>
        <v>ud</v>
      </c>
      <c r="E95" s="20" t="n">
        <f aca="false">IF(E$5="",0,SUMPRODUCT((Plantillas!$A$2:$A$114=E$5)*(Plantillas!$D$2:$D$114=$A95)*(Plantillas!$G$2:$G$114*N(E$6)+Plantillas!$H$2:$H$114)))</f>
        <v>0</v>
      </c>
      <c r="F95" s="20" t="n">
        <f aca="false">IF(F$5="",0,SUMPRODUCT((Plantillas!$A$2:$A$114=F$5)*(Plantillas!$D$2:$D$114=$A95)*(Plantillas!$G$2:$G$114*N(F$6)+Plantillas!$H$2:$H$114)))</f>
        <v>8</v>
      </c>
      <c r="G95" s="20" t="n">
        <f aca="false">IF(G$5="",0,SUMPRODUCT((Plantillas!$A$2:$A$114=G$5)*(Plantillas!$D$2:$D$114=$A95)*(Plantillas!$G$2:$G$114*N(G$6)+Plantillas!$H$2:$H$114)))</f>
        <v>4</v>
      </c>
      <c r="H95" s="20" t="n">
        <f aca="false">IF(H$5="",0,SUMPRODUCT((Plantillas!$A$2:$A$114=H$5)*(Plantillas!$D$2:$D$114=$A95)*(Plantillas!$G$2:$G$114*N(H$6)+Plantillas!$H$2:$H$114)))</f>
        <v>4</v>
      </c>
      <c r="I95" s="20" t="n">
        <f aca="false">IF(I$5="",0,SUMPRODUCT((Plantillas!$A$2:$A$114=I$5)*(Plantillas!$D$2:$D$114=$A95)*(Plantillas!$G$2:$G$114*N(I$6)+Plantillas!$H$2:$H$114)))</f>
        <v>4</v>
      </c>
      <c r="J95" s="20" t="n">
        <f aca="false">IF(J$5="",0,SUMPRODUCT((Plantillas!$A$2:$A$114=J$5)*(Plantillas!$D$2:$D$114=$A95)*(Plantillas!$G$2:$G$114*N(J$6)+Plantillas!$H$2:$H$114)))</f>
        <v>2</v>
      </c>
      <c r="K95" s="20" t="n">
        <f aca="false">IF(K$5="",0,SUMPRODUCT((Plantillas!$A$2:$A$114=K$5)*(Plantillas!$D$2:$D$114=$A95)*(Plantillas!$G$2:$G$114*N(K$6)+Plantillas!$H$2:$H$114)))</f>
        <v>2</v>
      </c>
      <c r="L95" s="20" t="n">
        <f aca="false">IF(L$5="",0,SUMPRODUCT((Plantillas!$A$2:$A$114=L$5)*(Plantillas!$D$2:$D$114=$A95)*(Plantillas!$G$2:$G$114*N(L$6)+Plantillas!$H$2:$H$114)))</f>
        <v>4</v>
      </c>
      <c r="M95" s="20" t="n">
        <f aca="false">IF(M$5="",0,SUMPRODUCT((Plantillas!$A$2:$A$114=M$5)*(Plantillas!$D$2:$D$114=$A95)*(Plantillas!$G$2:$G$114*N(M$6)+Plantillas!$H$2:$H$114)))</f>
        <v>1</v>
      </c>
      <c r="N95" s="20" t="n">
        <f aca="false">IF(N$5="",0,SUMPRODUCT((Plantillas!$A$2:$A$114=N$5)*(Plantillas!$D$2:$D$114=$A95)*(Plantillas!$G$2:$G$114*N(N$6)+Plantillas!$H$2:$H$114)))</f>
        <v>2</v>
      </c>
      <c r="O95" s="20" t="n">
        <f aca="false">IF(O$5="",0,SUMPRODUCT((Plantillas!$A$2:$A$114=O$5)*(Plantillas!$D$2:$D$114=$A95)*(Plantillas!$G$2:$G$114*N(O$6)+Plantillas!$H$2:$H$114)))</f>
        <v>2</v>
      </c>
      <c r="P95" s="20" t="n">
        <f aca="false">IF(P$5="",0,SUMPRODUCT((Plantillas!$A$2:$A$114=P$5)*(Plantillas!$D$2:$D$114=$A95)*(Plantillas!$G$2:$G$114*N(P$6)+Plantillas!$H$2:$H$114)))</f>
        <v>0</v>
      </c>
      <c r="Q95" s="20" t="n">
        <f aca="false">IF(Q$5="",0,SUMPRODUCT((Plantillas!$A$2:$A$114=Q$5)*(Plantillas!$D$2:$D$114=$A95)*(Plantillas!$G$2:$G$114*N(Q$6)+Plantillas!$H$2:$H$114)))</f>
        <v>0</v>
      </c>
      <c r="R95" s="20" t="n">
        <f aca="false">IF(R$5="",0,SUMPRODUCT((Plantillas!$A$2:$A$114=R$5)*(Plantillas!$D$2:$D$114=$A95)*(Plantillas!$G$2:$G$114*N(R$6)+Plantillas!$H$2:$H$114)))</f>
        <v>0</v>
      </c>
      <c r="S95" s="20" t="n">
        <f aca="false">SUM(E95:R95)</f>
        <v>33</v>
      </c>
      <c r="T95" s="21" t="n">
        <f aca="false">IF(INDEX(Partidas!$F$2:$F$99,MATCH(A95,Partidas!$A$2:$A$99,0))="","",INDEX(Partidas!$F$2:$F$99,MATCH(A95,Partidas!$A$2:$A$99,0)))</f>
        <v>45</v>
      </c>
      <c r="U95" s="22" t="n">
        <f aca="false">IF(T95="",0,S95*T95)</f>
        <v>1485</v>
      </c>
    </row>
    <row r="96" customFormat="false" ht="15" hidden="false" customHeight="false" outlineLevel="0" collapsed="false">
      <c r="A96" s="0" t="s">
        <v>370</v>
      </c>
      <c r="B96" s="0" t="s">
        <v>63</v>
      </c>
      <c r="C96" s="9" t="str">
        <f aca="false">INDEX(Partidas!$D$2:$D$99,MATCH(A96,Partidas!$A$2:$A$99,0))</f>
        <v>Toma de corriente con cargador USB-C</v>
      </c>
      <c r="D96" s="9" t="str">
        <f aca="false">INDEX(Partidas!$C$2:$C$99,MATCH(A96,Partidas!$A$2:$A$99,0))</f>
        <v>ud</v>
      </c>
      <c r="E96" s="20" t="n">
        <f aca="false">IF(E$5="",0,SUMPRODUCT((Plantillas!$A$2:$A$114=E$5)*(Plantillas!$D$2:$D$114=$A96)*(Plantillas!$G$2:$G$114*N(E$6)+Plantillas!$H$2:$H$114)))</f>
        <v>0</v>
      </c>
      <c r="F96" s="20" t="n">
        <f aca="false">IF(F$5="",0,SUMPRODUCT((Plantillas!$A$2:$A$114=F$5)*(Plantillas!$D$2:$D$114=$A96)*(Plantillas!$G$2:$G$114*N(F$6)+Plantillas!$H$2:$H$114)))</f>
        <v>0</v>
      </c>
      <c r="G96" s="20" t="n">
        <f aca="false">IF(G$5="",0,SUMPRODUCT((Plantillas!$A$2:$A$114=G$5)*(Plantillas!$D$2:$D$114=$A96)*(Plantillas!$G$2:$G$114*N(G$6)+Plantillas!$H$2:$H$114)))</f>
        <v>0</v>
      </c>
      <c r="H96" s="20" t="n">
        <f aca="false">IF(H$5="",0,SUMPRODUCT((Plantillas!$A$2:$A$114=H$5)*(Plantillas!$D$2:$D$114=$A96)*(Plantillas!$G$2:$G$114*N(H$6)+Plantillas!$H$2:$H$114)))</f>
        <v>0</v>
      </c>
      <c r="I96" s="20" t="n">
        <f aca="false">IF(I$5="",0,SUMPRODUCT((Plantillas!$A$2:$A$114=I$5)*(Plantillas!$D$2:$D$114=$A96)*(Plantillas!$G$2:$G$114*N(I$6)+Plantillas!$H$2:$H$114)))</f>
        <v>0</v>
      </c>
      <c r="J96" s="20" t="n">
        <f aca="false">IF(J$5="",0,SUMPRODUCT((Plantillas!$A$2:$A$114=J$5)*(Plantillas!$D$2:$D$114=$A96)*(Plantillas!$G$2:$G$114*N(J$6)+Plantillas!$H$2:$H$114)))</f>
        <v>0</v>
      </c>
      <c r="K96" s="20" t="n">
        <f aca="false">IF(K$5="",0,SUMPRODUCT((Plantillas!$A$2:$A$114=K$5)*(Plantillas!$D$2:$D$114=$A96)*(Plantillas!$G$2:$G$114*N(K$6)+Plantillas!$H$2:$H$114)))</f>
        <v>0</v>
      </c>
      <c r="L96" s="20" t="n">
        <f aca="false">IF(L$5="",0,SUMPRODUCT((Plantillas!$A$2:$A$114=L$5)*(Plantillas!$D$2:$D$114=$A96)*(Plantillas!$G$2:$G$114*N(L$6)+Plantillas!$H$2:$H$114)))</f>
        <v>0</v>
      </c>
      <c r="M96" s="20" t="n">
        <f aca="false">IF(M$5="",0,SUMPRODUCT((Plantillas!$A$2:$A$114=M$5)*(Plantillas!$D$2:$D$114=$A96)*(Plantillas!$G$2:$G$114*N(M$6)+Plantillas!$H$2:$H$114)))</f>
        <v>0</v>
      </c>
      <c r="N96" s="20" t="n">
        <f aca="false">IF(N$5="",0,SUMPRODUCT((Plantillas!$A$2:$A$114=N$5)*(Plantillas!$D$2:$D$114=$A96)*(Plantillas!$G$2:$G$114*N(N$6)+Plantillas!$H$2:$H$114)))</f>
        <v>0</v>
      </c>
      <c r="O96" s="20" t="n">
        <f aca="false">IF(O$5="",0,SUMPRODUCT((Plantillas!$A$2:$A$114=O$5)*(Plantillas!$D$2:$D$114=$A96)*(Plantillas!$G$2:$G$114*N(O$6)+Plantillas!$H$2:$H$114)))</f>
        <v>0</v>
      </c>
      <c r="P96" s="20" t="n">
        <f aca="false">IF(P$5="",0,SUMPRODUCT((Plantillas!$A$2:$A$114=P$5)*(Plantillas!$D$2:$D$114=$A96)*(Plantillas!$G$2:$G$114*N(P$6)+Plantillas!$H$2:$H$114)))</f>
        <v>0</v>
      </c>
      <c r="Q96" s="20" t="n">
        <f aca="false">IF(Q$5="",0,SUMPRODUCT((Plantillas!$A$2:$A$114=Q$5)*(Plantillas!$D$2:$D$114=$A96)*(Plantillas!$G$2:$G$114*N(Q$6)+Plantillas!$H$2:$H$114)))</f>
        <v>0</v>
      </c>
      <c r="R96" s="20" t="n">
        <f aca="false">IF(R$5="",0,SUMPRODUCT((Plantillas!$A$2:$A$114=R$5)*(Plantillas!$D$2:$D$114=$A96)*(Plantillas!$G$2:$G$114*N(R$6)+Plantillas!$H$2:$H$114)))</f>
        <v>0</v>
      </c>
      <c r="S96" s="20" t="n">
        <f aca="false">SUM(E96:R96)</f>
        <v>0</v>
      </c>
      <c r="T96" s="21" t="n">
        <f aca="false">IF(INDEX(Partidas!$F$2:$F$99,MATCH(A96,Partidas!$A$2:$A$99,0))="","",INDEX(Partidas!$F$2:$F$99,MATCH(A96,Partidas!$A$2:$A$99,0)))</f>
        <v>90</v>
      </c>
      <c r="U96" s="22" t="n">
        <f aca="false">IF(T96="",0,S96*T96)</f>
        <v>0</v>
      </c>
    </row>
    <row r="97" customFormat="false" ht="15" hidden="false" customHeight="false" outlineLevel="0" collapsed="false">
      <c r="A97" s="0" t="s">
        <v>374</v>
      </c>
      <c r="B97" s="0" t="s">
        <v>63</v>
      </c>
      <c r="C97" s="9" t="str">
        <f aca="false">INDEX(Partidas!$D$2:$D$99,MATCH(A97,Partidas!$A$2:$A$99,0))</f>
        <v>Toma de TV o datos</v>
      </c>
      <c r="D97" s="9" t="str">
        <f aca="false">INDEX(Partidas!$C$2:$C$99,MATCH(A97,Partidas!$A$2:$A$99,0))</f>
        <v>ud</v>
      </c>
      <c r="E97" s="20" t="n">
        <f aca="false">IF(E$5="",0,SUMPRODUCT((Plantillas!$A$2:$A$114=E$5)*(Plantillas!$D$2:$D$114=$A97)*(Plantillas!$G$2:$G$114*N(E$6)+Plantillas!$H$2:$H$114)))</f>
        <v>0</v>
      </c>
      <c r="F97" s="20" t="n">
        <f aca="false">IF(F$5="",0,SUMPRODUCT((Plantillas!$A$2:$A$114=F$5)*(Plantillas!$D$2:$D$114=$A97)*(Plantillas!$G$2:$G$114*N(F$6)+Plantillas!$H$2:$H$114)))</f>
        <v>2</v>
      </c>
      <c r="G97" s="20" t="n">
        <f aca="false">IF(G$5="",0,SUMPRODUCT((Plantillas!$A$2:$A$114=G$5)*(Plantillas!$D$2:$D$114=$A97)*(Plantillas!$G$2:$G$114*N(G$6)+Plantillas!$H$2:$H$114)))</f>
        <v>0</v>
      </c>
      <c r="H97" s="20" t="n">
        <f aca="false">IF(H$5="",0,SUMPRODUCT((Plantillas!$A$2:$A$114=H$5)*(Plantillas!$D$2:$D$114=$A97)*(Plantillas!$G$2:$G$114*N(H$6)+Plantillas!$H$2:$H$114)))</f>
        <v>0</v>
      </c>
      <c r="I97" s="20" t="n">
        <f aca="false">IF(I$5="",0,SUMPRODUCT((Plantillas!$A$2:$A$114=I$5)*(Plantillas!$D$2:$D$114=$A97)*(Plantillas!$G$2:$G$114*N(I$6)+Plantillas!$H$2:$H$114)))</f>
        <v>0</v>
      </c>
      <c r="J97" s="20" t="n">
        <f aca="false">IF(J$5="",0,SUMPRODUCT((Plantillas!$A$2:$A$114=J$5)*(Plantillas!$D$2:$D$114=$A97)*(Plantillas!$G$2:$G$114*N(J$6)+Plantillas!$H$2:$H$114)))</f>
        <v>0</v>
      </c>
      <c r="K97" s="20" t="n">
        <f aca="false">IF(K$5="",0,SUMPRODUCT((Plantillas!$A$2:$A$114=K$5)*(Plantillas!$D$2:$D$114=$A97)*(Plantillas!$G$2:$G$114*N(K$6)+Plantillas!$H$2:$H$114)))</f>
        <v>0</v>
      </c>
      <c r="L97" s="20" t="n">
        <f aca="false">IF(L$5="",0,SUMPRODUCT((Plantillas!$A$2:$A$114=L$5)*(Plantillas!$D$2:$D$114=$A97)*(Plantillas!$G$2:$G$114*N(L$6)+Plantillas!$H$2:$H$114)))</f>
        <v>0</v>
      </c>
      <c r="M97" s="20" t="n">
        <f aca="false">IF(M$5="",0,SUMPRODUCT((Plantillas!$A$2:$A$114=M$5)*(Plantillas!$D$2:$D$114=$A97)*(Plantillas!$G$2:$G$114*N(M$6)+Plantillas!$H$2:$H$114)))</f>
        <v>0</v>
      </c>
      <c r="N97" s="20" t="n">
        <f aca="false">IF(N$5="",0,SUMPRODUCT((Plantillas!$A$2:$A$114=N$5)*(Plantillas!$D$2:$D$114=$A97)*(Plantillas!$G$2:$G$114*N(N$6)+Plantillas!$H$2:$H$114)))</f>
        <v>0</v>
      </c>
      <c r="O97" s="20" t="n">
        <f aca="false">IF(O$5="",0,SUMPRODUCT((Plantillas!$A$2:$A$114=O$5)*(Plantillas!$D$2:$D$114=$A97)*(Plantillas!$G$2:$G$114*N(O$6)+Plantillas!$H$2:$H$114)))</f>
        <v>0</v>
      </c>
      <c r="P97" s="20" t="n">
        <f aca="false">IF(P$5="",0,SUMPRODUCT((Plantillas!$A$2:$A$114=P$5)*(Plantillas!$D$2:$D$114=$A97)*(Plantillas!$G$2:$G$114*N(P$6)+Plantillas!$H$2:$H$114)))</f>
        <v>0</v>
      </c>
      <c r="Q97" s="20" t="n">
        <f aca="false">IF(Q$5="",0,SUMPRODUCT((Plantillas!$A$2:$A$114=Q$5)*(Plantillas!$D$2:$D$114=$A97)*(Plantillas!$G$2:$G$114*N(Q$6)+Plantillas!$H$2:$H$114)))</f>
        <v>0</v>
      </c>
      <c r="R97" s="20" t="n">
        <f aca="false">IF(R$5="",0,SUMPRODUCT((Plantillas!$A$2:$A$114=R$5)*(Plantillas!$D$2:$D$114=$A97)*(Plantillas!$G$2:$G$114*N(R$6)+Plantillas!$H$2:$H$114)))</f>
        <v>0</v>
      </c>
      <c r="S97" s="20" t="n">
        <f aca="false">SUM(E97:R97)</f>
        <v>2</v>
      </c>
      <c r="T97" s="21" t="n">
        <f aca="false">IF(INDEX(Partidas!$F$2:$F$99,MATCH(A97,Partidas!$A$2:$A$99,0))="","",INDEX(Partidas!$F$2:$F$99,MATCH(A97,Partidas!$A$2:$A$99,0)))</f>
        <v>45</v>
      </c>
      <c r="U97" s="22" t="n">
        <f aca="false">IF(T97="",0,S97*T97)</f>
        <v>90</v>
      </c>
    </row>
    <row r="98" customFormat="false" ht="15" hidden="false" customHeight="false" outlineLevel="0" collapsed="false">
      <c r="A98" s="0" t="s">
        <v>378</v>
      </c>
      <c r="B98" s="0" t="s">
        <v>63</v>
      </c>
      <c r="C98" s="9" t="str">
        <f aca="false">INDEX(Partidas!$D$2:$D$99,MATCH(A98,Partidas!$A$2:$A$99,0))</f>
        <v>Toma para electrodoméstico</v>
      </c>
      <c r="D98" s="9" t="str">
        <f aca="false">INDEX(Partidas!$C$2:$C$99,MATCH(A98,Partidas!$A$2:$A$99,0))</f>
        <v>ud</v>
      </c>
      <c r="E98" s="20" t="n">
        <f aca="false">IF(E$5="",0,SUMPRODUCT((Plantillas!$A$2:$A$114=E$5)*(Plantillas!$D$2:$D$114=$A98)*(Plantillas!$G$2:$G$114*N(E$6)+Plantillas!$H$2:$H$114)))</f>
        <v>0</v>
      </c>
      <c r="F98" s="20" t="n">
        <f aca="false">IF(F$5="",0,SUMPRODUCT((Plantillas!$A$2:$A$114=F$5)*(Plantillas!$D$2:$D$114=$A98)*(Plantillas!$G$2:$G$114*N(F$6)+Plantillas!$H$2:$H$114)))</f>
        <v>0</v>
      </c>
      <c r="G98" s="20" t="n">
        <f aca="false">IF(G$5="",0,SUMPRODUCT((Plantillas!$A$2:$A$114=G$5)*(Plantillas!$D$2:$D$114=$A98)*(Plantillas!$G$2:$G$114*N(G$6)+Plantillas!$H$2:$H$114)))</f>
        <v>0</v>
      </c>
      <c r="H98" s="20" t="n">
        <f aca="false">IF(H$5="",0,SUMPRODUCT((Plantillas!$A$2:$A$114=H$5)*(Plantillas!$D$2:$D$114=$A98)*(Plantillas!$G$2:$G$114*N(H$6)+Plantillas!$H$2:$H$114)))</f>
        <v>0</v>
      </c>
      <c r="I98" s="20" t="n">
        <f aca="false">IF(I$5="",0,SUMPRODUCT((Plantillas!$A$2:$A$114=I$5)*(Plantillas!$D$2:$D$114=$A98)*(Plantillas!$G$2:$G$114*N(I$6)+Plantillas!$H$2:$H$114)))</f>
        <v>0</v>
      </c>
      <c r="J98" s="20" t="n">
        <f aca="false">IF(J$5="",0,SUMPRODUCT((Plantillas!$A$2:$A$114=J$5)*(Plantillas!$D$2:$D$114=$A98)*(Plantillas!$G$2:$G$114*N(J$6)+Plantillas!$H$2:$H$114)))</f>
        <v>0</v>
      </c>
      <c r="K98" s="20" t="n">
        <f aca="false">IF(K$5="",0,SUMPRODUCT((Plantillas!$A$2:$A$114=K$5)*(Plantillas!$D$2:$D$114=$A98)*(Plantillas!$G$2:$G$114*N(K$6)+Plantillas!$H$2:$H$114)))</f>
        <v>0</v>
      </c>
      <c r="L98" s="20" t="n">
        <f aca="false">IF(L$5="",0,SUMPRODUCT((Plantillas!$A$2:$A$114=L$5)*(Plantillas!$D$2:$D$114=$A98)*(Plantillas!$G$2:$G$114*N(L$6)+Plantillas!$H$2:$H$114)))</f>
        <v>5</v>
      </c>
      <c r="M98" s="20" t="n">
        <f aca="false">IF(M$5="",0,SUMPRODUCT((Plantillas!$A$2:$A$114=M$5)*(Plantillas!$D$2:$D$114=$A98)*(Plantillas!$G$2:$G$114*N(M$6)+Plantillas!$H$2:$H$114)))</f>
        <v>2</v>
      </c>
      <c r="N98" s="20" t="n">
        <f aca="false">IF(N$5="",0,SUMPRODUCT((Plantillas!$A$2:$A$114=N$5)*(Plantillas!$D$2:$D$114=$A98)*(Plantillas!$G$2:$G$114*N(N$6)+Plantillas!$H$2:$H$114)))</f>
        <v>0</v>
      </c>
      <c r="O98" s="20" t="n">
        <f aca="false">IF(O$5="",0,SUMPRODUCT((Plantillas!$A$2:$A$114=O$5)*(Plantillas!$D$2:$D$114=$A98)*(Plantillas!$G$2:$G$114*N(O$6)+Plantillas!$H$2:$H$114)))</f>
        <v>0</v>
      </c>
      <c r="P98" s="20" t="n">
        <f aca="false">IF(P$5="",0,SUMPRODUCT((Plantillas!$A$2:$A$114=P$5)*(Plantillas!$D$2:$D$114=$A98)*(Plantillas!$G$2:$G$114*N(P$6)+Plantillas!$H$2:$H$114)))</f>
        <v>0</v>
      </c>
      <c r="Q98" s="20" t="n">
        <f aca="false">IF(Q$5="",0,SUMPRODUCT((Plantillas!$A$2:$A$114=Q$5)*(Plantillas!$D$2:$D$114=$A98)*(Plantillas!$G$2:$G$114*N(Q$6)+Plantillas!$H$2:$H$114)))</f>
        <v>0</v>
      </c>
      <c r="R98" s="20" t="n">
        <f aca="false">IF(R$5="",0,SUMPRODUCT((Plantillas!$A$2:$A$114=R$5)*(Plantillas!$D$2:$D$114=$A98)*(Plantillas!$G$2:$G$114*N(R$6)+Plantillas!$H$2:$H$114)))</f>
        <v>0</v>
      </c>
      <c r="S98" s="20" t="n">
        <f aca="false">SUM(E98:R98)</f>
        <v>7</v>
      </c>
      <c r="T98" s="21" t="n">
        <f aca="false">IF(INDEX(Partidas!$F$2:$F$99,MATCH(A98,Partidas!$A$2:$A$99,0))="","",INDEX(Partidas!$F$2:$F$99,MATCH(A98,Partidas!$A$2:$A$99,0)))</f>
        <v>45</v>
      </c>
      <c r="U98" s="22" t="n">
        <f aca="false">IF(T98="",0,S98*T98)</f>
        <v>315</v>
      </c>
    </row>
    <row r="99" customFormat="false" ht="15" hidden="false" customHeight="false" outlineLevel="0" collapsed="false">
      <c r="A99" s="0" t="s">
        <v>382</v>
      </c>
      <c r="B99" s="0" t="s">
        <v>63</v>
      </c>
      <c r="C99" s="9" t="str">
        <f aca="false">INDEX(Partidas!$D$2:$D$99,MATCH(A99,Partidas!$A$2:$A$99,0))</f>
        <v>Mecanismo de persiana motorizada</v>
      </c>
      <c r="D99" s="9" t="str">
        <f aca="false">INDEX(Partidas!$C$2:$C$99,MATCH(A99,Partidas!$A$2:$A$99,0))</f>
        <v>ud</v>
      </c>
      <c r="E99" s="20" t="n">
        <f aca="false">IF(E$5="",0,SUMPRODUCT((Plantillas!$A$2:$A$114=E$5)*(Plantillas!$D$2:$D$114=$A99)*(Plantillas!$G$2:$G$114*N(E$6)+Plantillas!$H$2:$H$114)))</f>
        <v>0</v>
      </c>
      <c r="F99" s="20" t="n">
        <f aca="false">IF(F$5="",0,SUMPRODUCT((Plantillas!$A$2:$A$114=F$5)*(Plantillas!$D$2:$D$114=$A99)*(Plantillas!$G$2:$G$114*N(F$6)+Plantillas!$H$2:$H$114)))</f>
        <v>0</v>
      </c>
      <c r="G99" s="20" t="n">
        <f aca="false">IF(G$5="",0,SUMPRODUCT((Plantillas!$A$2:$A$114=G$5)*(Plantillas!$D$2:$D$114=$A99)*(Plantillas!$G$2:$G$114*N(G$6)+Plantillas!$H$2:$H$114)))</f>
        <v>0</v>
      </c>
      <c r="H99" s="20" t="n">
        <f aca="false">IF(H$5="",0,SUMPRODUCT((Plantillas!$A$2:$A$114=H$5)*(Plantillas!$D$2:$D$114=$A99)*(Plantillas!$G$2:$G$114*N(H$6)+Plantillas!$H$2:$H$114)))</f>
        <v>0</v>
      </c>
      <c r="I99" s="20" t="n">
        <f aca="false">IF(I$5="",0,SUMPRODUCT((Plantillas!$A$2:$A$114=I$5)*(Plantillas!$D$2:$D$114=$A99)*(Plantillas!$G$2:$G$114*N(I$6)+Plantillas!$H$2:$H$114)))</f>
        <v>0</v>
      </c>
      <c r="J99" s="20" t="n">
        <f aca="false">IF(J$5="",0,SUMPRODUCT((Plantillas!$A$2:$A$114=J$5)*(Plantillas!$D$2:$D$114=$A99)*(Plantillas!$G$2:$G$114*N(J$6)+Plantillas!$H$2:$H$114)))</f>
        <v>0</v>
      </c>
      <c r="K99" s="20" t="n">
        <f aca="false">IF(K$5="",0,SUMPRODUCT((Plantillas!$A$2:$A$114=K$5)*(Plantillas!$D$2:$D$114=$A99)*(Plantillas!$G$2:$G$114*N(K$6)+Plantillas!$H$2:$H$114)))</f>
        <v>0</v>
      </c>
      <c r="L99" s="20" t="n">
        <f aca="false">IF(L$5="",0,SUMPRODUCT((Plantillas!$A$2:$A$114=L$5)*(Plantillas!$D$2:$D$114=$A99)*(Plantillas!$G$2:$G$114*N(L$6)+Plantillas!$H$2:$H$114)))</f>
        <v>0</v>
      </c>
      <c r="M99" s="20" t="n">
        <f aca="false">IF(M$5="",0,SUMPRODUCT((Plantillas!$A$2:$A$114=M$5)*(Plantillas!$D$2:$D$114=$A99)*(Plantillas!$G$2:$G$114*N(M$6)+Plantillas!$H$2:$H$114)))</f>
        <v>0</v>
      </c>
      <c r="N99" s="20" t="n">
        <f aca="false">IF(N$5="",0,SUMPRODUCT((Plantillas!$A$2:$A$114=N$5)*(Plantillas!$D$2:$D$114=$A99)*(Plantillas!$G$2:$G$114*N(N$6)+Plantillas!$H$2:$H$114)))</f>
        <v>0</v>
      </c>
      <c r="O99" s="20" t="n">
        <f aca="false">IF(O$5="",0,SUMPRODUCT((Plantillas!$A$2:$A$114=O$5)*(Plantillas!$D$2:$D$114=$A99)*(Plantillas!$G$2:$G$114*N(O$6)+Plantillas!$H$2:$H$114)))</f>
        <v>0</v>
      </c>
      <c r="P99" s="20" t="n">
        <f aca="false">IF(P$5="",0,SUMPRODUCT((Plantillas!$A$2:$A$114=P$5)*(Plantillas!$D$2:$D$114=$A99)*(Plantillas!$G$2:$G$114*N(P$6)+Plantillas!$H$2:$H$114)))</f>
        <v>0</v>
      </c>
      <c r="Q99" s="20" t="n">
        <f aca="false">IF(Q$5="",0,SUMPRODUCT((Plantillas!$A$2:$A$114=Q$5)*(Plantillas!$D$2:$D$114=$A99)*(Plantillas!$G$2:$G$114*N(Q$6)+Plantillas!$H$2:$H$114)))</f>
        <v>0</v>
      </c>
      <c r="R99" s="20" t="n">
        <f aca="false">IF(R$5="",0,SUMPRODUCT((Plantillas!$A$2:$A$114=R$5)*(Plantillas!$D$2:$D$114=$A99)*(Plantillas!$G$2:$G$114*N(R$6)+Plantillas!$H$2:$H$114)))</f>
        <v>0</v>
      </c>
      <c r="S99" s="20" t="n">
        <f aca="false">SUM(E99:R99)</f>
        <v>0</v>
      </c>
      <c r="T99" s="21" t="n">
        <f aca="false">IF(INDEX(Partidas!$F$2:$F$99,MATCH(A99,Partidas!$A$2:$A$99,0))="","",INDEX(Partidas!$F$2:$F$99,MATCH(A99,Partidas!$A$2:$A$99,0)))</f>
        <v>45</v>
      </c>
      <c r="U99" s="22" t="n">
        <f aca="false">IF(T99="",0,S99*T99)</f>
        <v>0</v>
      </c>
    </row>
    <row r="100" customFormat="false" ht="15" hidden="false" customHeight="false" outlineLevel="0" collapsed="false">
      <c r="A100" s="0" t="s">
        <v>386</v>
      </c>
      <c r="B100" s="0" t="s">
        <v>63</v>
      </c>
      <c r="C100" s="9" t="str">
        <f aca="false">INDEX(Partidas!$D$2:$D$99,MATCH(A100,Partidas!$A$2:$A$99,0))</f>
        <v>Timbre</v>
      </c>
      <c r="D100" s="9" t="str">
        <f aca="false">INDEX(Partidas!$C$2:$C$99,MATCH(A100,Partidas!$A$2:$A$99,0))</f>
        <v>ud</v>
      </c>
      <c r="E100" s="20" t="n">
        <f aca="false">IF(E$5="",0,SUMPRODUCT((Plantillas!$A$2:$A$114=E$5)*(Plantillas!$D$2:$D$114=$A100)*(Plantillas!$G$2:$G$114*N(E$6)+Plantillas!$H$2:$H$114)))</f>
        <v>1</v>
      </c>
      <c r="F100" s="20" t="n">
        <f aca="false">IF(F$5="",0,SUMPRODUCT((Plantillas!$A$2:$A$114=F$5)*(Plantillas!$D$2:$D$114=$A100)*(Plantillas!$G$2:$G$114*N(F$6)+Plantillas!$H$2:$H$114)))</f>
        <v>0</v>
      </c>
      <c r="G100" s="20" t="n">
        <f aca="false">IF(G$5="",0,SUMPRODUCT((Plantillas!$A$2:$A$114=G$5)*(Plantillas!$D$2:$D$114=$A100)*(Plantillas!$G$2:$G$114*N(G$6)+Plantillas!$H$2:$H$114)))</f>
        <v>0</v>
      </c>
      <c r="H100" s="20" t="n">
        <f aca="false">IF(H$5="",0,SUMPRODUCT((Plantillas!$A$2:$A$114=H$5)*(Plantillas!$D$2:$D$114=$A100)*(Plantillas!$G$2:$G$114*N(H$6)+Plantillas!$H$2:$H$114)))</f>
        <v>0</v>
      </c>
      <c r="I100" s="20" t="n">
        <f aca="false">IF(I$5="",0,SUMPRODUCT((Plantillas!$A$2:$A$114=I$5)*(Plantillas!$D$2:$D$114=$A100)*(Plantillas!$G$2:$G$114*N(I$6)+Plantillas!$H$2:$H$114)))</f>
        <v>0</v>
      </c>
      <c r="J100" s="20" t="n">
        <f aca="false">IF(J$5="",0,SUMPRODUCT((Plantillas!$A$2:$A$114=J$5)*(Plantillas!$D$2:$D$114=$A100)*(Plantillas!$G$2:$G$114*N(J$6)+Plantillas!$H$2:$H$114)))</f>
        <v>0</v>
      </c>
      <c r="K100" s="20" t="n">
        <f aca="false">IF(K$5="",0,SUMPRODUCT((Plantillas!$A$2:$A$114=K$5)*(Plantillas!$D$2:$D$114=$A100)*(Plantillas!$G$2:$G$114*N(K$6)+Plantillas!$H$2:$H$114)))</f>
        <v>0</v>
      </c>
      <c r="L100" s="20" t="n">
        <f aca="false">IF(L$5="",0,SUMPRODUCT((Plantillas!$A$2:$A$114=L$5)*(Plantillas!$D$2:$D$114=$A100)*(Plantillas!$G$2:$G$114*N(L$6)+Plantillas!$H$2:$H$114)))</f>
        <v>0</v>
      </c>
      <c r="M100" s="20" t="n">
        <f aca="false">IF(M$5="",0,SUMPRODUCT((Plantillas!$A$2:$A$114=M$5)*(Plantillas!$D$2:$D$114=$A100)*(Plantillas!$G$2:$G$114*N(M$6)+Plantillas!$H$2:$H$114)))</f>
        <v>0</v>
      </c>
      <c r="N100" s="20" t="n">
        <f aca="false">IF(N$5="",0,SUMPRODUCT((Plantillas!$A$2:$A$114=N$5)*(Plantillas!$D$2:$D$114=$A100)*(Plantillas!$G$2:$G$114*N(N$6)+Plantillas!$H$2:$H$114)))</f>
        <v>0</v>
      </c>
      <c r="O100" s="20" t="n">
        <f aca="false">IF(O$5="",0,SUMPRODUCT((Plantillas!$A$2:$A$114=O$5)*(Plantillas!$D$2:$D$114=$A100)*(Plantillas!$G$2:$G$114*N(O$6)+Plantillas!$H$2:$H$114)))</f>
        <v>0</v>
      </c>
      <c r="P100" s="20" t="n">
        <f aca="false">IF(P$5="",0,SUMPRODUCT((Plantillas!$A$2:$A$114=P$5)*(Plantillas!$D$2:$D$114=$A100)*(Plantillas!$G$2:$G$114*N(P$6)+Plantillas!$H$2:$H$114)))</f>
        <v>0</v>
      </c>
      <c r="Q100" s="20" t="n">
        <f aca="false">IF(Q$5="",0,SUMPRODUCT((Plantillas!$A$2:$A$114=Q$5)*(Plantillas!$D$2:$D$114=$A100)*(Plantillas!$G$2:$G$114*N(Q$6)+Plantillas!$H$2:$H$114)))</f>
        <v>0</v>
      </c>
      <c r="R100" s="20" t="n">
        <f aca="false">IF(R$5="",0,SUMPRODUCT((Plantillas!$A$2:$A$114=R$5)*(Plantillas!$D$2:$D$114=$A100)*(Plantillas!$G$2:$G$114*N(R$6)+Plantillas!$H$2:$H$114)))</f>
        <v>0</v>
      </c>
      <c r="S100" s="20" t="n">
        <f aca="false">SUM(E100:R100)</f>
        <v>1</v>
      </c>
      <c r="T100" s="21" t="n">
        <f aca="false">IF(INDEX(Partidas!$F$2:$F$99,MATCH(A100,Partidas!$A$2:$A$99,0))="","",INDEX(Partidas!$F$2:$F$99,MATCH(A100,Partidas!$A$2:$A$99,0)))</f>
        <v>65</v>
      </c>
      <c r="U100" s="22" t="n">
        <f aca="false">IF(T100="",0,S100*T100)</f>
        <v>65</v>
      </c>
    </row>
    <row r="101" customFormat="false" ht="15" hidden="false" customHeight="false" outlineLevel="0" collapsed="false">
      <c r="A101" s="0" t="s">
        <v>390</v>
      </c>
      <c r="B101" s="0" t="s">
        <v>63</v>
      </c>
      <c r="C101" s="9" t="str">
        <f aca="false">INDEX(Partidas!$D$2:$D$99,MATCH(A101,Partidas!$A$2:$A$99,0))</f>
        <v>Videoportero, terminal interior</v>
      </c>
      <c r="D101" s="9" t="str">
        <f aca="false">INDEX(Partidas!$C$2:$C$99,MATCH(A101,Partidas!$A$2:$A$99,0))</f>
        <v>ud</v>
      </c>
      <c r="E101" s="20" t="n">
        <f aca="false">IF(E$5="",0,SUMPRODUCT((Plantillas!$A$2:$A$114=E$5)*(Plantillas!$D$2:$D$114=$A101)*(Plantillas!$G$2:$G$114*N(E$6)+Plantillas!$H$2:$H$114)))</f>
        <v>0</v>
      </c>
      <c r="F101" s="20" t="n">
        <f aca="false">IF(F$5="",0,SUMPRODUCT((Plantillas!$A$2:$A$114=F$5)*(Plantillas!$D$2:$D$114=$A101)*(Plantillas!$G$2:$G$114*N(F$6)+Plantillas!$H$2:$H$114)))</f>
        <v>0</v>
      </c>
      <c r="G101" s="20" t="n">
        <f aca="false">IF(G$5="",0,SUMPRODUCT((Plantillas!$A$2:$A$114=G$5)*(Plantillas!$D$2:$D$114=$A101)*(Plantillas!$G$2:$G$114*N(G$6)+Plantillas!$H$2:$H$114)))</f>
        <v>0</v>
      </c>
      <c r="H101" s="20" t="n">
        <f aca="false">IF(H$5="",0,SUMPRODUCT((Plantillas!$A$2:$A$114=H$5)*(Plantillas!$D$2:$D$114=$A101)*(Plantillas!$G$2:$G$114*N(H$6)+Plantillas!$H$2:$H$114)))</f>
        <v>0</v>
      </c>
      <c r="I101" s="20" t="n">
        <f aca="false">IF(I$5="",0,SUMPRODUCT((Plantillas!$A$2:$A$114=I$5)*(Plantillas!$D$2:$D$114=$A101)*(Plantillas!$G$2:$G$114*N(I$6)+Plantillas!$H$2:$H$114)))</f>
        <v>0</v>
      </c>
      <c r="J101" s="20" t="n">
        <f aca="false">IF(J$5="",0,SUMPRODUCT((Plantillas!$A$2:$A$114=J$5)*(Plantillas!$D$2:$D$114=$A101)*(Plantillas!$G$2:$G$114*N(J$6)+Plantillas!$H$2:$H$114)))</f>
        <v>0</v>
      </c>
      <c r="K101" s="20" t="n">
        <f aca="false">IF(K$5="",0,SUMPRODUCT((Plantillas!$A$2:$A$114=K$5)*(Plantillas!$D$2:$D$114=$A101)*(Plantillas!$G$2:$G$114*N(K$6)+Plantillas!$H$2:$H$114)))</f>
        <v>0</v>
      </c>
      <c r="L101" s="20" t="n">
        <f aca="false">IF(L$5="",0,SUMPRODUCT((Plantillas!$A$2:$A$114=L$5)*(Plantillas!$D$2:$D$114=$A101)*(Plantillas!$G$2:$G$114*N(L$6)+Plantillas!$H$2:$H$114)))</f>
        <v>0</v>
      </c>
      <c r="M101" s="20" t="n">
        <f aca="false">IF(M$5="",0,SUMPRODUCT((Plantillas!$A$2:$A$114=M$5)*(Plantillas!$D$2:$D$114=$A101)*(Plantillas!$G$2:$G$114*N(M$6)+Plantillas!$H$2:$H$114)))</f>
        <v>0</v>
      </c>
      <c r="N101" s="20" t="n">
        <f aca="false">IF(N$5="",0,SUMPRODUCT((Plantillas!$A$2:$A$114=N$5)*(Plantillas!$D$2:$D$114=$A101)*(Plantillas!$G$2:$G$114*N(N$6)+Plantillas!$H$2:$H$114)))</f>
        <v>0</v>
      </c>
      <c r="O101" s="20" t="n">
        <f aca="false">IF(O$5="",0,SUMPRODUCT((Plantillas!$A$2:$A$114=O$5)*(Plantillas!$D$2:$D$114=$A101)*(Plantillas!$G$2:$G$114*N(O$6)+Plantillas!$H$2:$H$114)))</f>
        <v>0</v>
      </c>
      <c r="P101" s="20" t="n">
        <f aca="false">IF(P$5="",0,SUMPRODUCT((Plantillas!$A$2:$A$114=P$5)*(Plantillas!$D$2:$D$114=$A101)*(Plantillas!$G$2:$G$114*N(P$6)+Plantillas!$H$2:$H$114)))</f>
        <v>0</v>
      </c>
      <c r="Q101" s="20" t="n">
        <f aca="false">IF(Q$5="",0,SUMPRODUCT((Plantillas!$A$2:$A$114=Q$5)*(Plantillas!$D$2:$D$114=$A101)*(Plantillas!$G$2:$G$114*N(Q$6)+Plantillas!$H$2:$H$114)))</f>
        <v>0</v>
      </c>
      <c r="R101" s="20" t="n">
        <f aca="false">IF(R$5="",0,SUMPRODUCT((Plantillas!$A$2:$A$114=R$5)*(Plantillas!$D$2:$D$114=$A101)*(Plantillas!$G$2:$G$114*N(R$6)+Plantillas!$H$2:$H$114)))</f>
        <v>0</v>
      </c>
      <c r="S101" s="20" t="n">
        <f aca="false">SUM(E101:R101)</f>
        <v>0</v>
      </c>
      <c r="T101" s="21" t="str">
        <f aca="false">IF(INDEX(Partidas!$F$2:$F$99,MATCH(A101,Partidas!$A$2:$A$99,0))="","",INDEX(Partidas!$F$2:$F$99,MATCH(A101,Partidas!$A$2:$A$99,0)))</f>
        <v/>
      </c>
      <c r="U101" s="22" t="n">
        <f aca="false">IF(T101="",0,S101*T101)</f>
        <v>0</v>
      </c>
    </row>
    <row r="102" customFormat="false" ht="15" hidden="false" customHeight="false" outlineLevel="0" collapsed="false">
      <c r="A102" s="0" t="s">
        <v>393</v>
      </c>
      <c r="B102" s="0" t="s">
        <v>63</v>
      </c>
      <c r="C102" s="9" t="str">
        <f aca="false">INDEX(Partidas!$D$2:$D$99,MATCH(A102,Partidas!$A$2:$A$99,0))</f>
        <v>Detector de humo autónomo</v>
      </c>
      <c r="D102" s="9" t="str">
        <f aca="false">INDEX(Partidas!$C$2:$C$99,MATCH(A102,Partidas!$A$2:$A$99,0))</f>
        <v>ud</v>
      </c>
      <c r="E102" s="20" t="n">
        <f aca="false">IF(E$5="",0,SUMPRODUCT((Plantillas!$A$2:$A$114=E$5)*(Plantillas!$D$2:$D$114=$A102)*(Plantillas!$G$2:$G$114*N(E$6)+Plantillas!$H$2:$H$114)))</f>
        <v>2</v>
      </c>
      <c r="F102" s="20" t="n">
        <f aca="false">IF(F$5="",0,SUMPRODUCT((Plantillas!$A$2:$A$114=F$5)*(Plantillas!$D$2:$D$114=$A102)*(Plantillas!$G$2:$G$114*N(F$6)+Plantillas!$H$2:$H$114)))</f>
        <v>0</v>
      </c>
      <c r="G102" s="20" t="n">
        <f aca="false">IF(G$5="",0,SUMPRODUCT((Plantillas!$A$2:$A$114=G$5)*(Plantillas!$D$2:$D$114=$A102)*(Plantillas!$G$2:$G$114*N(G$6)+Plantillas!$H$2:$H$114)))</f>
        <v>0</v>
      </c>
      <c r="H102" s="20" t="n">
        <f aca="false">IF(H$5="",0,SUMPRODUCT((Plantillas!$A$2:$A$114=H$5)*(Plantillas!$D$2:$D$114=$A102)*(Plantillas!$G$2:$G$114*N(H$6)+Plantillas!$H$2:$H$114)))</f>
        <v>0</v>
      </c>
      <c r="I102" s="20" t="n">
        <f aca="false">IF(I$5="",0,SUMPRODUCT((Plantillas!$A$2:$A$114=I$5)*(Plantillas!$D$2:$D$114=$A102)*(Plantillas!$G$2:$G$114*N(I$6)+Plantillas!$H$2:$H$114)))</f>
        <v>0</v>
      </c>
      <c r="J102" s="20" t="n">
        <f aca="false">IF(J$5="",0,SUMPRODUCT((Plantillas!$A$2:$A$114=J$5)*(Plantillas!$D$2:$D$114=$A102)*(Plantillas!$G$2:$G$114*N(J$6)+Plantillas!$H$2:$H$114)))</f>
        <v>0</v>
      </c>
      <c r="K102" s="20" t="n">
        <f aca="false">IF(K$5="",0,SUMPRODUCT((Plantillas!$A$2:$A$114=K$5)*(Plantillas!$D$2:$D$114=$A102)*(Plantillas!$G$2:$G$114*N(K$6)+Plantillas!$H$2:$H$114)))</f>
        <v>0</v>
      </c>
      <c r="L102" s="20" t="n">
        <f aca="false">IF(L$5="",0,SUMPRODUCT((Plantillas!$A$2:$A$114=L$5)*(Plantillas!$D$2:$D$114=$A102)*(Plantillas!$G$2:$G$114*N(L$6)+Plantillas!$H$2:$H$114)))</f>
        <v>0</v>
      </c>
      <c r="M102" s="20" t="n">
        <f aca="false">IF(M$5="",0,SUMPRODUCT((Plantillas!$A$2:$A$114=M$5)*(Plantillas!$D$2:$D$114=$A102)*(Plantillas!$G$2:$G$114*N(M$6)+Plantillas!$H$2:$H$114)))</f>
        <v>0</v>
      </c>
      <c r="N102" s="20" t="n">
        <f aca="false">IF(N$5="",0,SUMPRODUCT((Plantillas!$A$2:$A$114=N$5)*(Plantillas!$D$2:$D$114=$A102)*(Plantillas!$G$2:$G$114*N(N$6)+Plantillas!$H$2:$H$114)))</f>
        <v>0</v>
      </c>
      <c r="O102" s="20" t="n">
        <f aca="false">IF(O$5="",0,SUMPRODUCT((Plantillas!$A$2:$A$114=O$5)*(Plantillas!$D$2:$D$114=$A102)*(Plantillas!$G$2:$G$114*N(O$6)+Plantillas!$H$2:$H$114)))</f>
        <v>0</v>
      </c>
      <c r="P102" s="20" t="n">
        <f aca="false">IF(P$5="",0,SUMPRODUCT((Plantillas!$A$2:$A$114=P$5)*(Plantillas!$D$2:$D$114=$A102)*(Plantillas!$G$2:$G$114*N(P$6)+Plantillas!$H$2:$H$114)))</f>
        <v>0</v>
      </c>
      <c r="Q102" s="20" t="n">
        <f aca="false">IF(Q$5="",0,SUMPRODUCT((Plantillas!$A$2:$A$114=Q$5)*(Plantillas!$D$2:$D$114=$A102)*(Plantillas!$G$2:$G$114*N(Q$6)+Plantillas!$H$2:$H$114)))</f>
        <v>0</v>
      </c>
      <c r="R102" s="20" t="n">
        <f aca="false">IF(R$5="",0,SUMPRODUCT((Plantillas!$A$2:$A$114=R$5)*(Plantillas!$D$2:$D$114=$A102)*(Plantillas!$G$2:$G$114*N(R$6)+Plantillas!$H$2:$H$114)))</f>
        <v>0</v>
      </c>
      <c r="S102" s="20" t="n">
        <f aca="false">SUM(E102:R102)</f>
        <v>2</v>
      </c>
      <c r="T102" s="21" t="str">
        <f aca="false">IF(INDEX(Partidas!$F$2:$F$99,MATCH(A102,Partidas!$A$2:$A$99,0))="","",INDEX(Partidas!$F$2:$F$99,MATCH(A102,Partidas!$A$2:$A$99,0)))</f>
        <v/>
      </c>
      <c r="U102" s="22" t="n">
        <f aca="false">IF(T102="",0,S102*T102)</f>
        <v>0</v>
      </c>
    </row>
    <row r="103" customFormat="false" ht="15" hidden="false" customHeight="false" outlineLevel="0" collapsed="false">
      <c r="A103" s="17" t="s">
        <v>65</v>
      </c>
      <c r="B103" s="18"/>
      <c r="C103" s="17" t="s">
        <v>66</v>
      </c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9" t="n">
        <f aca="false">SUM(U104:U107)</f>
        <v>0</v>
      </c>
    </row>
    <row r="104" customFormat="false" ht="15" hidden="false" customHeight="false" outlineLevel="0" collapsed="false">
      <c r="A104" s="0" t="s">
        <v>396</v>
      </c>
      <c r="B104" s="0" t="s">
        <v>65</v>
      </c>
      <c r="C104" s="9" t="str">
        <f aca="false">INDEX(Partidas!$D$2:$D$99,MATCH(A104,Partidas!$A$2:$A$99,0))</f>
        <v>Aplique de pared</v>
      </c>
      <c r="D104" s="9" t="str">
        <f aca="false">INDEX(Partidas!$C$2:$C$99,MATCH(A104,Partidas!$A$2:$A$99,0))</f>
        <v>ud</v>
      </c>
      <c r="E104" s="20" t="n">
        <f aca="false">IF(E$5="",0,SUMPRODUCT((Plantillas!$A$2:$A$114=E$5)*(Plantillas!$D$2:$D$114=$A104)*(Plantillas!$G$2:$G$114*N(E$6)+Plantillas!$H$2:$H$114)))</f>
        <v>0</v>
      </c>
      <c r="F104" s="20" t="n">
        <f aca="false">IF(F$5="",0,SUMPRODUCT((Plantillas!$A$2:$A$114=F$5)*(Plantillas!$D$2:$D$114=$A104)*(Plantillas!$G$2:$G$114*N(F$6)+Plantillas!$H$2:$H$114)))</f>
        <v>0</v>
      </c>
      <c r="G104" s="20" t="n">
        <f aca="false">IF(G$5="",0,SUMPRODUCT((Plantillas!$A$2:$A$114=G$5)*(Plantillas!$D$2:$D$114=$A104)*(Plantillas!$G$2:$G$114*N(G$6)+Plantillas!$H$2:$H$114)))</f>
        <v>0</v>
      </c>
      <c r="H104" s="20" t="n">
        <f aca="false">IF(H$5="",0,SUMPRODUCT((Plantillas!$A$2:$A$114=H$5)*(Plantillas!$D$2:$D$114=$A104)*(Plantillas!$G$2:$G$114*N(H$6)+Plantillas!$H$2:$H$114)))</f>
        <v>0</v>
      </c>
      <c r="I104" s="20" t="n">
        <f aca="false">IF(I$5="",0,SUMPRODUCT((Plantillas!$A$2:$A$114=I$5)*(Plantillas!$D$2:$D$114=$A104)*(Plantillas!$G$2:$G$114*N(I$6)+Plantillas!$H$2:$H$114)))</f>
        <v>0</v>
      </c>
      <c r="J104" s="20" t="n">
        <f aca="false">IF(J$5="",0,SUMPRODUCT((Plantillas!$A$2:$A$114=J$5)*(Plantillas!$D$2:$D$114=$A104)*(Plantillas!$G$2:$G$114*N(J$6)+Plantillas!$H$2:$H$114)))</f>
        <v>0</v>
      </c>
      <c r="K104" s="20" t="n">
        <f aca="false">IF(K$5="",0,SUMPRODUCT((Plantillas!$A$2:$A$114=K$5)*(Plantillas!$D$2:$D$114=$A104)*(Plantillas!$G$2:$G$114*N(K$6)+Plantillas!$H$2:$H$114)))</f>
        <v>0</v>
      </c>
      <c r="L104" s="20" t="n">
        <f aca="false">IF(L$5="",0,SUMPRODUCT((Plantillas!$A$2:$A$114=L$5)*(Plantillas!$D$2:$D$114=$A104)*(Plantillas!$G$2:$G$114*N(L$6)+Plantillas!$H$2:$H$114)))</f>
        <v>0</v>
      </c>
      <c r="M104" s="20" t="n">
        <f aca="false">IF(M$5="",0,SUMPRODUCT((Plantillas!$A$2:$A$114=M$5)*(Plantillas!$D$2:$D$114=$A104)*(Plantillas!$G$2:$G$114*N(M$6)+Plantillas!$H$2:$H$114)))</f>
        <v>0</v>
      </c>
      <c r="N104" s="20" t="n">
        <f aca="false">IF(N$5="",0,SUMPRODUCT((Plantillas!$A$2:$A$114=N$5)*(Plantillas!$D$2:$D$114=$A104)*(Plantillas!$G$2:$G$114*N(N$6)+Plantillas!$H$2:$H$114)))</f>
        <v>0</v>
      </c>
      <c r="O104" s="20" t="n">
        <f aca="false">IF(O$5="",0,SUMPRODUCT((Plantillas!$A$2:$A$114=O$5)*(Plantillas!$D$2:$D$114=$A104)*(Plantillas!$G$2:$G$114*N(O$6)+Plantillas!$H$2:$H$114)))</f>
        <v>0</v>
      </c>
      <c r="P104" s="20" t="n">
        <f aca="false">IF(P$5="",0,SUMPRODUCT((Plantillas!$A$2:$A$114=P$5)*(Plantillas!$D$2:$D$114=$A104)*(Plantillas!$G$2:$G$114*N(P$6)+Plantillas!$H$2:$H$114)))</f>
        <v>0</v>
      </c>
      <c r="Q104" s="20" t="n">
        <f aca="false">IF(Q$5="",0,SUMPRODUCT((Plantillas!$A$2:$A$114=Q$5)*(Plantillas!$D$2:$D$114=$A104)*(Plantillas!$G$2:$G$114*N(Q$6)+Plantillas!$H$2:$H$114)))</f>
        <v>0</v>
      </c>
      <c r="R104" s="20" t="n">
        <f aca="false">IF(R$5="",0,SUMPRODUCT((Plantillas!$A$2:$A$114=R$5)*(Plantillas!$D$2:$D$114=$A104)*(Plantillas!$G$2:$G$114*N(R$6)+Plantillas!$H$2:$H$114)))</f>
        <v>0</v>
      </c>
      <c r="S104" s="20" t="n">
        <f aca="false">SUM(E104:R104)</f>
        <v>0</v>
      </c>
      <c r="T104" s="21" t="str">
        <f aca="false">IF(INDEX(Partidas!$F$2:$F$99,MATCH(A104,Partidas!$A$2:$A$99,0))="","",INDEX(Partidas!$F$2:$F$99,MATCH(A104,Partidas!$A$2:$A$99,0)))</f>
        <v/>
      </c>
      <c r="U104" s="22" t="n">
        <f aca="false">IF(T104="",0,S104*T104)</f>
        <v>0</v>
      </c>
    </row>
    <row r="105" customFormat="false" ht="15" hidden="false" customHeight="false" outlineLevel="0" collapsed="false">
      <c r="A105" s="0" t="s">
        <v>400</v>
      </c>
      <c r="B105" s="0" t="s">
        <v>65</v>
      </c>
      <c r="C105" s="9" t="str">
        <f aca="false">INDEX(Partidas!$D$2:$D$99,MATCH(A105,Partidas!$A$2:$A$99,0))</f>
        <v>Downlight LED empotrado</v>
      </c>
      <c r="D105" s="9" t="str">
        <f aca="false">INDEX(Partidas!$C$2:$C$99,MATCH(A105,Partidas!$A$2:$A$99,0))</f>
        <v>ud</v>
      </c>
      <c r="E105" s="20" t="n">
        <f aca="false">IF(E$5="",0,SUMPRODUCT((Plantillas!$A$2:$A$114=E$5)*(Plantillas!$D$2:$D$114=$A105)*(Plantillas!$G$2:$G$114*N(E$6)+Plantillas!$H$2:$H$114)))</f>
        <v>0</v>
      </c>
      <c r="F105" s="20" t="n">
        <f aca="false">IF(F$5="",0,SUMPRODUCT((Plantillas!$A$2:$A$114=F$5)*(Plantillas!$D$2:$D$114=$A105)*(Plantillas!$G$2:$G$114*N(F$6)+Plantillas!$H$2:$H$114)))</f>
        <v>0</v>
      </c>
      <c r="G105" s="20" t="n">
        <f aca="false">IF(G$5="",0,SUMPRODUCT((Plantillas!$A$2:$A$114=G$5)*(Plantillas!$D$2:$D$114=$A105)*(Plantillas!$G$2:$G$114*N(G$6)+Plantillas!$H$2:$H$114)))</f>
        <v>0</v>
      </c>
      <c r="H105" s="20" t="n">
        <f aca="false">IF(H$5="",0,SUMPRODUCT((Plantillas!$A$2:$A$114=H$5)*(Plantillas!$D$2:$D$114=$A105)*(Plantillas!$G$2:$G$114*N(H$6)+Plantillas!$H$2:$H$114)))</f>
        <v>0</v>
      </c>
      <c r="I105" s="20" t="n">
        <f aca="false">IF(I$5="",0,SUMPRODUCT((Plantillas!$A$2:$A$114=I$5)*(Plantillas!$D$2:$D$114=$A105)*(Plantillas!$G$2:$G$114*N(I$6)+Plantillas!$H$2:$H$114)))</f>
        <v>0</v>
      </c>
      <c r="J105" s="20" t="n">
        <f aca="false">IF(J$5="",0,SUMPRODUCT((Plantillas!$A$2:$A$114=J$5)*(Plantillas!$D$2:$D$114=$A105)*(Plantillas!$G$2:$G$114*N(J$6)+Plantillas!$H$2:$H$114)))</f>
        <v>0</v>
      </c>
      <c r="K105" s="20" t="n">
        <f aca="false">IF(K$5="",0,SUMPRODUCT((Plantillas!$A$2:$A$114=K$5)*(Plantillas!$D$2:$D$114=$A105)*(Plantillas!$G$2:$G$114*N(K$6)+Plantillas!$H$2:$H$114)))</f>
        <v>0</v>
      </c>
      <c r="L105" s="20" t="n">
        <f aca="false">IF(L$5="",0,SUMPRODUCT((Plantillas!$A$2:$A$114=L$5)*(Plantillas!$D$2:$D$114=$A105)*(Plantillas!$G$2:$G$114*N(L$6)+Plantillas!$H$2:$H$114)))</f>
        <v>0</v>
      </c>
      <c r="M105" s="20" t="n">
        <f aca="false">IF(M$5="",0,SUMPRODUCT((Plantillas!$A$2:$A$114=M$5)*(Plantillas!$D$2:$D$114=$A105)*(Plantillas!$G$2:$G$114*N(M$6)+Plantillas!$H$2:$H$114)))</f>
        <v>0</v>
      </c>
      <c r="N105" s="20" t="n">
        <f aca="false">IF(N$5="",0,SUMPRODUCT((Plantillas!$A$2:$A$114=N$5)*(Plantillas!$D$2:$D$114=$A105)*(Plantillas!$G$2:$G$114*N(N$6)+Plantillas!$H$2:$H$114)))</f>
        <v>0</v>
      </c>
      <c r="O105" s="20" t="n">
        <f aca="false">IF(O$5="",0,SUMPRODUCT((Plantillas!$A$2:$A$114=O$5)*(Plantillas!$D$2:$D$114=$A105)*(Plantillas!$G$2:$G$114*N(O$6)+Plantillas!$H$2:$H$114)))</f>
        <v>0</v>
      </c>
      <c r="P105" s="20" t="n">
        <f aca="false">IF(P$5="",0,SUMPRODUCT((Plantillas!$A$2:$A$114=P$5)*(Plantillas!$D$2:$D$114=$A105)*(Plantillas!$G$2:$G$114*N(P$6)+Plantillas!$H$2:$H$114)))</f>
        <v>0</v>
      </c>
      <c r="Q105" s="20" t="n">
        <f aca="false">IF(Q$5="",0,SUMPRODUCT((Plantillas!$A$2:$A$114=Q$5)*(Plantillas!$D$2:$D$114=$A105)*(Plantillas!$G$2:$G$114*N(Q$6)+Plantillas!$H$2:$H$114)))</f>
        <v>0</v>
      </c>
      <c r="R105" s="20" t="n">
        <f aca="false">IF(R$5="",0,SUMPRODUCT((Plantillas!$A$2:$A$114=R$5)*(Plantillas!$D$2:$D$114=$A105)*(Plantillas!$G$2:$G$114*N(R$6)+Plantillas!$H$2:$H$114)))</f>
        <v>0</v>
      </c>
      <c r="S105" s="20" t="n">
        <f aca="false">SUM(E105:R105)</f>
        <v>0</v>
      </c>
      <c r="T105" s="21" t="n">
        <f aca="false">IF(INDEX(Partidas!$F$2:$F$99,MATCH(A105,Partidas!$A$2:$A$99,0))="","",INDEX(Partidas!$F$2:$F$99,MATCH(A105,Partidas!$A$2:$A$99,0)))</f>
        <v>42</v>
      </c>
      <c r="U105" s="22" t="n">
        <f aca="false">IF(T105="",0,S105*T105)</f>
        <v>0</v>
      </c>
    </row>
    <row r="106" customFormat="false" ht="15" hidden="false" customHeight="false" outlineLevel="0" collapsed="false">
      <c r="A106" s="0" t="s">
        <v>404</v>
      </c>
      <c r="B106" s="0" t="s">
        <v>65</v>
      </c>
      <c r="C106" s="9" t="str">
        <f aca="false">INDEX(Partidas!$D$2:$D$99,MATCH(A106,Partidas!$A$2:$A$99,0))</f>
        <v>Tira LED con perfil</v>
      </c>
      <c r="D106" s="9" t="str">
        <f aca="false">INDEX(Partidas!$C$2:$C$99,MATCH(A106,Partidas!$A$2:$A$99,0))</f>
        <v>m</v>
      </c>
      <c r="E106" s="20" t="n">
        <f aca="false">IF(E$5="",0,SUMPRODUCT((Plantillas!$A$2:$A$114=E$5)*(Plantillas!$D$2:$D$114=$A106)*(Plantillas!$G$2:$G$114*N(E$6)+Plantillas!$H$2:$H$114)))</f>
        <v>0</v>
      </c>
      <c r="F106" s="20" t="n">
        <f aca="false">IF(F$5="",0,SUMPRODUCT((Plantillas!$A$2:$A$114=F$5)*(Plantillas!$D$2:$D$114=$A106)*(Plantillas!$G$2:$G$114*N(F$6)+Plantillas!$H$2:$H$114)))</f>
        <v>0</v>
      </c>
      <c r="G106" s="20" t="n">
        <f aca="false">IF(G$5="",0,SUMPRODUCT((Plantillas!$A$2:$A$114=G$5)*(Plantillas!$D$2:$D$114=$A106)*(Plantillas!$G$2:$G$114*N(G$6)+Plantillas!$H$2:$H$114)))</f>
        <v>0</v>
      </c>
      <c r="H106" s="20" t="n">
        <f aca="false">IF(H$5="",0,SUMPRODUCT((Plantillas!$A$2:$A$114=H$5)*(Plantillas!$D$2:$D$114=$A106)*(Plantillas!$G$2:$G$114*N(H$6)+Plantillas!$H$2:$H$114)))</f>
        <v>0</v>
      </c>
      <c r="I106" s="20" t="n">
        <f aca="false">IF(I$5="",0,SUMPRODUCT((Plantillas!$A$2:$A$114=I$5)*(Plantillas!$D$2:$D$114=$A106)*(Plantillas!$G$2:$G$114*N(I$6)+Plantillas!$H$2:$H$114)))</f>
        <v>0</v>
      </c>
      <c r="J106" s="20" t="n">
        <f aca="false">IF(J$5="",0,SUMPRODUCT((Plantillas!$A$2:$A$114=J$5)*(Plantillas!$D$2:$D$114=$A106)*(Plantillas!$G$2:$G$114*N(J$6)+Plantillas!$H$2:$H$114)))</f>
        <v>0</v>
      </c>
      <c r="K106" s="20" t="n">
        <f aca="false">IF(K$5="",0,SUMPRODUCT((Plantillas!$A$2:$A$114=K$5)*(Plantillas!$D$2:$D$114=$A106)*(Plantillas!$G$2:$G$114*N(K$6)+Plantillas!$H$2:$H$114)))</f>
        <v>0</v>
      </c>
      <c r="L106" s="20" t="n">
        <f aca="false">IF(L$5="",0,SUMPRODUCT((Plantillas!$A$2:$A$114=L$5)*(Plantillas!$D$2:$D$114=$A106)*(Plantillas!$G$2:$G$114*N(L$6)+Plantillas!$H$2:$H$114)))</f>
        <v>0</v>
      </c>
      <c r="M106" s="20" t="n">
        <f aca="false">IF(M$5="",0,SUMPRODUCT((Plantillas!$A$2:$A$114=M$5)*(Plantillas!$D$2:$D$114=$A106)*(Plantillas!$G$2:$G$114*N(M$6)+Plantillas!$H$2:$H$114)))</f>
        <v>0</v>
      </c>
      <c r="N106" s="20" t="n">
        <f aca="false">IF(N$5="",0,SUMPRODUCT((Plantillas!$A$2:$A$114=N$5)*(Plantillas!$D$2:$D$114=$A106)*(Plantillas!$G$2:$G$114*N(N$6)+Plantillas!$H$2:$H$114)))</f>
        <v>0</v>
      </c>
      <c r="O106" s="20" t="n">
        <f aca="false">IF(O$5="",0,SUMPRODUCT((Plantillas!$A$2:$A$114=O$5)*(Plantillas!$D$2:$D$114=$A106)*(Plantillas!$G$2:$G$114*N(O$6)+Plantillas!$H$2:$H$114)))</f>
        <v>0</v>
      </c>
      <c r="P106" s="20" t="n">
        <f aca="false">IF(P$5="",0,SUMPRODUCT((Plantillas!$A$2:$A$114=P$5)*(Plantillas!$D$2:$D$114=$A106)*(Plantillas!$G$2:$G$114*N(P$6)+Plantillas!$H$2:$H$114)))</f>
        <v>0</v>
      </c>
      <c r="Q106" s="20" t="n">
        <f aca="false">IF(Q$5="",0,SUMPRODUCT((Plantillas!$A$2:$A$114=Q$5)*(Plantillas!$D$2:$D$114=$A106)*(Plantillas!$G$2:$G$114*N(Q$6)+Plantillas!$H$2:$H$114)))</f>
        <v>0</v>
      </c>
      <c r="R106" s="20" t="n">
        <f aca="false">IF(R$5="",0,SUMPRODUCT((Plantillas!$A$2:$A$114=R$5)*(Plantillas!$D$2:$D$114=$A106)*(Plantillas!$G$2:$G$114*N(R$6)+Plantillas!$H$2:$H$114)))</f>
        <v>0</v>
      </c>
      <c r="S106" s="20" t="n">
        <f aca="false">SUM(E106:R106)</f>
        <v>0</v>
      </c>
      <c r="T106" s="21" t="n">
        <f aca="false">IF(INDEX(Partidas!$F$2:$F$99,MATCH(A106,Partidas!$A$2:$A$99,0))="","",INDEX(Partidas!$F$2:$F$99,MATCH(A106,Partidas!$A$2:$A$99,0)))</f>
        <v>35</v>
      </c>
      <c r="U106" s="22" t="n">
        <f aca="false">IF(T106="",0,S106*T106)</f>
        <v>0</v>
      </c>
    </row>
    <row r="107" customFormat="false" ht="15" hidden="false" customHeight="false" outlineLevel="0" collapsed="false">
      <c r="A107" s="0" t="s">
        <v>408</v>
      </c>
      <c r="B107" s="0" t="s">
        <v>65</v>
      </c>
      <c r="C107" s="9" t="str">
        <f aca="false">INDEX(Partidas!$D$2:$D$99,MATCH(A107,Partidas!$A$2:$A$99,0))</f>
        <v>Baliza empotrada de pared</v>
      </c>
      <c r="D107" s="9" t="str">
        <f aca="false">INDEX(Partidas!$C$2:$C$99,MATCH(A107,Partidas!$A$2:$A$99,0))</f>
        <v>ud</v>
      </c>
      <c r="E107" s="20" t="n">
        <f aca="false">IF(E$5="",0,SUMPRODUCT((Plantillas!$A$2:$A$114=E$5)*(Plantillas!$D$2:$D$114=$A107)*(Plantillas!$G$2:$G$114*N(E$6)+Plantillas!$H$2:$H$114)))</f>
        <v>0</v>
      </c>
      <c r="F107" s="20" t="n">
        <f aca="false">IF(F$5="",0,SUMPRODUCT((Plantillas!$A$2:$A$114=F$5)*(Plantillas!$D$2:$D$114=$A107)*(Plantillas!$G$2:$G$114*N(F$6)+Plantillas!$H$2:$H$114)))</f>
        <v>0</v>
      </c>
      <c r="G107" s="20" t="n">
        <f aca="false">IF(G$5="",0,SUMPRODUCT((Plantillas!$A$2:$A$114=G$5)*(Plantillas!$D$2:$D$114=$A107)*(Plantillas!$G$2:$G$114*N(G$6)+Plantillas!$H$2:$H$114)))</f>
        <v>0</v>
      </c>
      <c r="H107" s="20" t="n">
        <f aca="false">IF(H$5="",0,SUMPRODUCT((Plantillas!$A$2:$A$114=H$5)*(Plantillas!$D$2:$D$114=$A107)*(Plantillas!$G$2:$G$114*N(H$6)+Plantillas!$H$2:$H$114)))</f>
        <v>0</v>
      </c>
      <c r="I107" s="20" t="n">
        <f aca="false">IF(I$5="",0,SUMPRODUCT((Plantillas!$A$2:$A$114=I$5)*(Plantillas!$D$2:$D$114=$A107)*(Plantillas!$G$2:$G$114*N(I$6)+Plantillas!$H$2:$H$114)))</f>
        <v>0</v>
      </c>
      <c r="J107" s="20" t="n">
        <f aca="false">IF(J$5="",0,SUMPRODUCT((Plantillas!$A$2:$A$114=J$5)*(Plantillas!$D$2:$D$114=$A107)*(Plantillas!$G$2:$G$114*N(J$6)+Plantillas!$H$2:$H$114)))</f>
        <v>0</v>
      </c>
      <c r="K107" s="20" t="n">
        <f aca="false">IF(K$5="",0,SUMPRODUCT((Plantillas!$A$2:$A$114=K$5)*(Plantillas!$D$2:$D$114=$A107)*(Plantillas!$G$2:$G$114*N(K$6)+Plantillas!$H$2:$H$114)))</f>
        <v>0</v>
      </c>
      <c r="L107" s="20" t="n">
        <f aca="false">IF(L$5="",0,SUMPRODUCT((Plantillas!$A$2:$A$114=L$5)*(Plantillas!$D$2:$D$114=$A107)*(Plantillas!$G$2:$G$114*N(L$6)+Plantillas!$H$2:$H$114)))</f>
        <v>0</v>
      </c>
      <c r="M107" s="20" t="n">
        <f aca="false">IF(M$5="",0,SUMPRODUCT((Plantillas!$A$2:$A$114=M$5)*(Plantillas!$D$2:$D$114=$A107)*(Plantillas!$G$2:$G$114*N(M$6)+Plantillas!$H$2:$H$114)))</f>
        <v>0</v>
      </c>
      <c r="N107" s="20" t="n">
        <f aca="false">IF(N$5="",0,SUMPRODUCT((Plantillas!$A$2:$A$114=N$5)*(Plantillas!$D$2:$D$114=$A107)*(Plantillas!$G$2:$G$114*N(N$6)+Plantillas!$H$2:$H$114)))</f>
        <v>0</v>
      </c>
      <c r="O107" s="20" t="n">
        <f aca="false">IF(O$5="",0,SUMPRODUCT((Plantillas!$A$2:$A$114=O$5)*(Plantillas!$D$2:$D$114=$A107)*(Plantillas!$G$2:$G$114*N(O$6)+Plantillas!$H$2:$H$114)))</f>
        <v>0</v>
      </c>
      <c r="P107" s="20" t="n">
        <f aca="false">IF(P$5="",0,SUMPRODUCT((Plantillas!$A$2:$A$114=P$5)*(Plantillas!$D$2:$D$114=$A107)*(Plantillas!$G$2:$G$114*N(P$6)+Plantillas!$H$2:$H$114)))</f>
        <v>0</v>
      </c>
      <c r="Q107" s="20" t="n">
        <f aca="false">IF(Q$5="",0,SUMPRODUCT((Plantillas!$A$2:$A$114=Q$5)*(Plantillas!$D$2:$D$114=$A107)*(Plantillas!$G$2:$G$114*N(Q$6)+Plantillas!$H$2:$H$114)))</f>
        <v>0</v>
      </c>
      <c r="R107" s="20" t="n">
        <f aca="false">IF(R$5="",0,SUMPRODUCT((Plantillas!$A$2:$A$114=R$5)*(Plantillas!$D$2:$D$114=$A107)*(Plantillas!$G$2:$G$114*N(R$6)+Plantillas!$H$2:$H$114)))</f>
        <v>0</v>
      </c>
      <c r="S107" s="20" t="n">
        <f aca="false">SUM(E107:R107)</f>
        <v>0</v>
      </c>
      <c r="T107" s="21" t="n">
        <f aca="false">IF(INDEX(Partidas!$F$2:$F$99,MATCH(A107,Partidas!$A$2:$A$99,0))="","",INDEX(Partidas!$F$2:$F$99,MATCH(A107,Partidas!$A$2:$A$99,0)))</f>
        <v>50</v>
      </c>
      <c r="U107" s="22" t="n">
        <f aca="false">IF(T107="",0,S107*T107)</f>
        <v>0</v>
      </c>
    </row>
    <row r="108" customFormat="false" ht="15" hidden="false" customHeight="false" outlineLevel="0" collapsed="false">
      <c r="A108" s="17" t="s">
        <v>67</v>
      </c>
      <c r="B108" s="18"/>
      <c r="C108" s="17" t="s">
        <v>68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9" t="n">
        <f aca="false">SUM(U109:U112)</f>
        <v>345</v>
      </c>
    </row>
    <row r="109" customFormat="false" ht="15" hidden="false" customHeight="false" outlineLevel="0" collapsed="false">
      <c r="A109" s="0" t="s">
        <v>412</v>
      </c>
      <c r="B109" s="0" t="s">
        <v>67</v>
      </c>
      <c r="C109" s="9" t="str">
        <f aca="false">INDEX(Partidas!$D$2:$D$99,MATCH(A109,Partidas!$A$2:$A$99,0))</f>
        <v>Adaptación de calefacción por radiadores</v>
      </c>
      <c r="D109" s="9" t="str">
        <f aca="false">INDEX(Partidas!$C$2:$C$99,MATCH(A109,Partidas!$A$2:$A$99,0))</f>
        <v>pa</v>
      </c>
      <c r="E109" s="20" t="n">
        <f aca="false">IF(E$5="",0,SUMPRODUCT((Plantillas!$A$2:$A$114=E$5)*(Plantillas!$D$2:$D$114=$A109)*(Plantillas!$G$2:$G$114*N(E$6)+Plantillas!$H$2:$H$114)))</f>
        <v>0</v>
      </c>
      <c r="F109" s="20" t="n">
        <f aca="false">IF(F$5="",0,SUMPRODUCT((Plantillas!$A$2:$A$114=F$5)*(Plantillas!$D$2:$D$114=$A109)*(Plantillas!$G$2:$G$114*N(F$6)+Plantillas!$H$2:$H$114)))</f>
        <v>0</v>
      </c>
      <c r="G109" s="20" t="n">
        <f aca="false">IF(G$5="",0,SUMPRODUCT((Plantillas!$A$2:$A$114=G$5)*(Plantillas!$D$2:$D$114=$A109)*(Plantillas!$G$2:$G$114*N(G$6)+Plantillas!$H$2:$H$114)))</f>
        <v>0</v>
      </c>
      <c r="H109" s="20" t="n">
        <f aca="false">IF(H$5="",0,SUMPRODUCT((Plantillas!$A$2:$A$114=H$5)*(Plantillas!$D$2:$D$114=$A109)*(Plantillas!$G$2:$G$114*N(H$6)+Plantillas!$H$2:$H$114)))</f>
        <v>0</v>
      </c>
      <c r="I109" s="20" t="n">
        <f aca="false">IF(I$5="",0,SUMPRODUCT((Plantillas!$A$2:$A$114=I$5)*(Plantillas!$D$2:$D$114=$A109)*(Plantillas!$G$2:$G$114*N(I$6)+Plantillas!$H$2:$H$114)))</f>
        <v>0</v>
      </c>
      <c r="J109" s="20" t="n">
        <f aca="false">IF(J$5="",0,SUMPRODUCT((Plantillas!$A$2:$A$114=J$5)*(Plantillas!$D$2:$D$114=$A109)*(Plantillas!$G$2:$G$114*N(J$6)+Plantillas!$H$2:$H$114)))</f>
        <v>0</v>
      </c>
      <c r="K109" s="20" t="n">
        <f aca="false">IF(K$5="",0,SUMPRODUCT((Plantillas!$A$2:$A$114=K$5)*(Plantillas!$D$2:$D$114=$A109)*(Plantillas!$G$2:$G$114*N(K$6)+Plantillas!$H$2:$H$114)))</f>
        <v>0</v>
      </c>
      <c r="L109" s="20" t="n">
        <f aca="false">IF(L$5="",0,SUMPRODUCT((Plantillas!$A$2:$A$114=L$5)*(Plantillas!$D$2:$D$114=$A109)*(Plantillas!$G$2:$G$114*N(L$6)+Plantillas!$H$2:$H$114)))</f>
        <v>0</v>
      </c>
      <c r="M109" s="20" t="n">
        <f aca="false">IF(M$5="",0,SUMPRODUCT((Plantillas!$A$2:$A$114=M$5)*(Plantillas!$D$2:$D$114=$A109)*(Plantillas!$G$2:$G$114*N(M$6)+Plantillas!$H$2:$H$114)))</f>
        <v>0</v>
      </c>
      <c r="N109" s="20" t="n">
        <f aca="false">IF(N$5="",0,SUMPRODUCT((Plantillas!$A$2:$A$114=N$5)*(Plantillas!$D$2:$D$114=$A109)*(Plantillas!$G$2:$G$114*N(N$6)+Plantillas!$H$2:$H$114)))</f>
        <v>0</v>
      </c>
      <c r="O109" s="20" t="n">
        <f aca="false">IF(O$5="",0,SUMPRODUCT((Plantillas!$A$2:$A$114=O$5)*(Plantillas!$D$2:$D$114=$A109)*(Plantillas!$G$2:$G$114*N(O$6)+Plantillas!$H$2:$H$114)))</f>
        <v>0</v>
      </c>
      <c r="P109" s="20" t="n">
        <f aca="false">IF(P$5="",0,SUMPRODUCT((Plantillas!$A$2:$A$114=P$5)*(Plantillas!$D$2:$D$114=$A109)*(Plantillas!$G$2:$G$114*N(P$6)+Plantillas!$H$2:$H$114)))</f>
        <v>0</v>
      </c>
      <c r="Q109" s="20" t="n">
        <f aca="false">IF(Q$5="",0,SUMPRODUCT((Plantillas!$A$2:$A$114=Q$5)*(Plantillas!$D$2:$D$114=$A109)*(Plantillas!$G$2:$G$114*N(Q$6)+Plantillas!$H$2:$H$114)))</f>
        <v>0</v>
      </c>
      <c r="R109" s="20" t="n">
        <f aca="false">IF(R$5="",0,SUMPRODUCT((Plantillas!$A$2:$A$114=R$5)*(Plantillas!$D$2:$D$114=$A109)*(Plantillas!$G$2:$G$114*N(R$6)+Plantillas!$H$2:$H$114)))</f>
        <v>0</v>
      </c>
      <c r="S109" s="20" t="n">
        <f aca="false">SUM(E109:R109)</f>
        <v>0</v>
      </c>
      <c r="T109" s="21" t="n">
        <f aca="false">IF(INDEX(Partidas!$F$2:$F$99,MATCH(A109,Partidas!$A$2:$A$99,0))="","",INDEX(Partidas!$F$2:$F$99,MATCH(A109,Partidas!$A$2:$A$99,0)))</f>
        <v>4200</v>
      </c>
      <c r="U109" s="22" t="n">
        <f aca="false">IF(T109="",0,S109*T109)</f>
        <v>0</v>
      </c>
    </row>
    <row r="110" customFormat="false" ht="15" hidden="false" customHeight="false" outlineLevel="0" collapsed="false">
      <c r="A110" s="0" t="s">
        <v>416</v>
      </c>
      <c r="B110" s="0" t="s">
        <v>67</v>
      </c>
      <c r="C110" s="9" t="str">
        <f aca="false">INDEX(Partidas!$D$2:$D$99,MATCH(A110,Partidas!$A$2:$A$99,0))</f>
        <v>Aire acondicionado multisplit 3×1</v>
      </c>
      <c r="D110" s="9" t="str">
        <f aca="false">INDEX(Partidas!$C$2:$C$99,MATCH(A110,Partidas!$A$2:$A$99,0))</f>
        <v>ud</v>
      </c>
      <c r="E110" s="20" t="n">
        <f aca="false">IF(E$5="",0,SUMPRODUCT((Plantillas!$A$2:$A$114=E$5)*(Plantillas!$D$2:$D$114=$A110)*(Plantillas!$G$2:$G$114*N(E$6)+Plantillas!$H$2:$H$114)))</f>
        <v>0</v>
      </c>
      <c r="F110" s="20" t="n">
        <f aca="false">IF(F$5="",0,SUMPRODUCT((Plantillas!$A$2:$A$114=F$5)*(Plantillas!$D$2:$D$114=$A110)*(Plantillas!$G$2:$G$114*N(F$6)+Plantillas!$H$2:$H$114)))</f>
        <v>0</v>
      </c>
      <c r="G110" s="20" t="n">
        <f aca="false">IF(G$5="",0,SUMPRODUCT((Plantillas!$A$2:$A$114=G$5)*(Plantillas!$D$2:$D$114=$A110)*(Plantillas!$G$2:$G$114*N(G$6)+Plantillas!$H$2:$H$114)))</f>
        <v>0</v>
      </c>
      <c r="H110" s="20" t="n">
        <f aca="false">IF(H$5="",0,SUMPRODUCT((Plantillas!$A$2:$A$114=H$5)*(Plantillas!$D$2:$D$114=$A110)*(Plantillas!$G$2:$G$114*N(H$6)+Plantillas!$H$2:$H$114)))</f>
        <v>0</v>
      </c>
      <c r="I110" s="20" t="n">
        <f aca="false">IF(I$5="",0,SUMPRODUCT((Plantillas!$A$2:$A$114=I$5)*(Plantillas!$D$2:$D$114=$A110)*(Plantillas!$G$2:$G$114*N(I$6)+Plantillas!$H$2:$H$114)))</f>
        <v>0</v>
      </c>
      <c r="J110" s="20" t="n">
        <f aca="false">IF(J$5="",0,SUMPRODUCT((Plantillas!$A$2:$A$114=J$5)*(Plantillas!$D$2:$D$114=$A110)*(Plantillas!$G$2:$G$114*N(J$6)+Plantillas!$H$2:$H$114)))</f>
        <v>0</v>
      </c>
      <c r="K110" s="20" t="n">
        <f aca="false">IF(K$5="",0,SUMPRODUCT((Plantillas!$A$2:$A$114=K$5)*(Plantillas!$D$2:$D$114=$A110)*(Plantillas!$G$2:$G$114*N(K$6)+Plantillas!$H$2:$H$114)))</f>
        <v>0</v>
      </c>
      <c r="L110" s="20" t="n">
        <f aca="false">IF(L$5="",0,SUMPRODUCT((Plantillas!$A$2:$A$114=L$5)*(Plantillas!$D$2:$D$114=$A110)*(Plantillas!$G$2:$G$114*N(L$6)+Plantillas!$H$2:$H$114)))</f>
        <v>0</v>
      </c>
      <c r="M110" s="20" t="n">
        <f aca="false">IF(M$5="",0,SUMPRODUCT((Plantillas!$A$2:$A$114=M$5)*(Plantillas!$D$2:$D$114=$A110)*(Plantillas!$G$2:$G$114*N(M$6)+Plantillas!$H$2:$H$114)))</f>
        <v>0</v>
      </c>
      <c r="N110" s="20" t="n">
        <f aca="false">IF(N$5="",0,SUMPRODUCT((Plantillas!$A$2:$A$114=N$5)*(Plantillas!$D$2:$D$114=$A110)*(Plantillas!$G$2:$G$114*N(N$6)+Plantillas!$H$2:$H$114)))</f>
        <v>0</v>
      </c>
      <c r="O110" s="20" t="n">
        <f aca="false">IF(O$5="",0,SUMPRODUCT((Plantillas!$A$2:$A$114=O$5)*(Plantillas!$D$2:$D$114=$A110)*(Plantillas!$G$2:$G$114*N(O$6)+Plantillas!$H$2:$H$114)))</f>
        <v>0</v>
      </c>
      <c r="P110" s="20" t="n">
        <f aca="false">IF(P$5="",0,SUMPRODUCT((Plantillas!$A$2:$A$114=P$5)*(Plantillas!$D$2:$D$114=$A110)*(Plantillas!$G$2:$G$114*N(P$6)+Plantillas!$H$2:$H$114)))</f>
        <v>0</v>
      </c>
      <c r="Q110" s="20" t="n">
        <f aca="false">IF(Q$5="",0,SUMPRODUCT((Plantillas!$A$2:$A$114=Q$5)*(Plantillas!$D$2:$D$114=$A110)*(Plantillas!$G$2:$G$114*N(Q$6)+Plantillas!$H$2:$H$114)))</f>
        <v>0</v>
      </c>
      <c r="R110" s="20" t="n">
        <f aca="false">IF(R$5="",0,SUMPRODUCT((Plantillas!$A$2:$A$114=R$5)*(Plantillas!$D$2:$D$114=$A110)*(Plantillas!$G$2:$G$114*N(R$6)+Plantillas!$H$2:$H$114)))</f>
        <v>0</v>
      </c>
      <c r="S110" s="20" t="n">
        <f aca="false">SUM(E110:R110)</f>
        <v>0</v>
      </c>
      <c r="T110" s="21" t="n">
        <f aca="false">IF(INDEX(Partidas!$F$2:$F$99,MATCH(A110,Partidas!$A$2:$A$99,0))="","",INDEX(Partidas!$F$2:$F$99,MATCH(A110,Partidas!$A$2:$A$99,0)))</f>
        <v>3400</v>
      </c>
      <c r="U110" s="22" t="n">
        <f aca="false">IF(T110="",0,S110*T110)</f>
        <v>0</v>
      </c>
    </row>
    <row r="111" customFormat="false" ht="15" hidden="false" customHeight="false" outlineLevel="0" collapsed="false">
      <c r="A111" s="0" t="s">
        <v>420</v>
      </c>
      <c r="B111" s="0" t="s">
        <v>67</v>
      </c>
      <c r="C111" s="9" t="str">
        <f aca="false">INDEX(Partidas!$D$2:$D$99,MATCH(A111,Partidas!$A$2:$A$99,0))</f>
        <v>Extractor con conducto</v>
      </c>
      <c r="D111" s="9" t="str">
        <f aca="false">INDEX(Partidas!$C$2:$C$99,MATCH(A111,Partidas!$A$2:$A$99,0))</f>
        <v>ud</v>
      </c>
      <c r="E111" s="20" t="n">
        <f aca="false">IF(E$5="",0,SUMPRODUCT((Plantillas!$A$2:$A$114=E$5)*(Plantillas!$D$2:$D$114=$A111)*(Plantillas!$G$2:$G$114*N(E$6)+Plantillas!$H$2:$H$114)))</f>
        <v>0</v>
      </c>
      <c r="F111" s="20" t="n">
        <f aca="false">IF(F$5="",0,SUMPRODUCT((Plantillas!$A$2:$A$114=F$5)*(Plantillas!$D$2:$D$114=$A111)*(Plantillas!$G$2:$G$114*N(F$6)+Plantillas!$H$2:$H$114)))</f>
        <v>0</v>
      </c>
      <c r="G111" s="20" t="n">
        <f aca="false">IF(G$5="",0,SUMPRODUCT((Plantillas!$A$2:$A$114=G$5)*(Plantillas!$D$2:$D$114=$A111)*(Plantillas!$G$2:$G$114*N(G$6)+Plantillas!$H$2:$H$114)))</f>
        <v>0</v>
      </c>
      <c r="H111" s="20" t="n">
        <f aca="false">IF(H$5="",0,SUMPRODUCT((Plantillas!$A$2:$A$114=H$5)*(Plantillas!$D$2:$D$114=$A111)*(Plantillas!$G$2:$G$114*N(H$6)+Plantillas!$H$2:$H$114)))</f>
        <v>0</v>
      </c>
      <c r="I111" s="20" t="n">
        <f aca="false">IF(I$5="",0,SUMPRODUCT((Plantillas!$A$2:$A$114=I$5)*(Plantillas!$D$2:$D$114=$A111)*(Plantillas!$G$2:$G$114*N(I$6)+Plantillas!$H$2:$H$114)))</f>
        <v>0</v>
      </c>
      <c r="J111" s="20" t="n">
        <f aca="false">IF(J$5="",0,SUMPRODUCT((Plantillas!$A$2:$A$114=J$5)*(Plantillas!$D$2:$D$114=$A111)*(Plantillas!$G$2:$G$114*N(J$6)+Plantillas!$H$2:$H$114)))</f>
        <v>0</v>
      </c>
      <c r="K111" s="20" t="n">
        <f aca="false">IF(K$5="",0,SUMPRODUCT((Plantillas!$A$2:$A$114=K$5)*(Plantillas!$D$2:$D$114=$A111)*(Plantillas!$G$2:$G$114*N(K$6)+Plantillas!$H$2:$H$114)))</f>
        <v>0</v>
      </c>
      <c r="L111" s="20" t="n">
        <f aca="false">IF(L$5="",0,SUMPRODUCT((Plantillas!$A$2:$A$114=L$5)*(Plantillas!$D$2:$D$114=$A111)*(Plantillas!$G$2:$G$114*N(L$6)+Plantillas!$H$2:$H$114)))</f>
        <v>0</v>
      </c>
      <c r="M111" s="20" t="n">
        <f aca="false">IF(M$5="",0,SUMPRODUCT((Plantillas!$A$2:$A$114=M$5)*(Plantillas!$D$2:$D$114=$A111)*(Plantillas!$G$2:$G$114*N(M$6)+Plantillas!$H$2:$H$114)))</f>
        <v>1</v>
      </c>
      <c r="N111" s="20" t="n">
        <f aca="false">IF(N$5="",0,SUMPRODUCT((Plantillas!$A$2:$A$114=N$5)*(Plantillas!$D$2:$D$114=$A111)*(Plantillas!$G$2:$G$114*N(N$6)+Plantillas!$H$2:$H$114)))</f>
        <v>1</v>
      </c>
      <c r="O111" s="20" t="n">
        <f aca="false">IF(O$5="",0,SUMPRODUCT((Plantillas!$A$2:$A$114=O$5)*(Plantillas!$D$2:$D$114=$A111)*(Plantillas!$G$2:$G$114*N(O$6)+Plantillas!$H$2:$H$114)))</f>
        <v>1</v>
      </c>
      <c r="P111" s="20" t="n">
        <f aca="false">IF(P$5="",0,SUMPRODUCT((Plantillas!$A$2:$A$114=P$5)*(Plantillas!$D$2:$D$114=$A111)*(Plantillas!$G$2:$G$114*N(P$6)+Plantillas!$H$2:$H$114)))</f>
        <v>0</v>
      </c>
      <c r="Q111" s="20" t="n">
        <f aca="false">IF(Q$5="",0,SUMPRODUCT((Plantillas!$A$2:$A$114=Q$5)*(Plantillas!$D$2:$D$114=$A111)*(Plantillas!$G$2:$G$114*N(Q$6)+Plantillas!$H$2:$H$114)))</f>
        <v>0</v>
      </c>
      <c r="R111" s="20" t="n">
        <f aca="false">IF(R$5="",0,SUMPRODUCT((Plantillas!$A$2:$A$114=R$5)*(Plantillas!$D$2:$D$114=$A111)*(Plantillas!$G$2:$G$114*N(R$6)+Plantillas!$H$2:$H$114)))</f>
        <v>0</v>
      </c>
      <c r="S111" s="20" t="n">
        <f aca="false">SUM(E111:R111)</f>
        <v>3</v>
      </c>
      <c r="T111" s="21" t="n">
        <f aca="false">IF(INDEX(Partidas!$F$2:$F$99,MATCH(A111,Partidas!$A$2:$A$99,0))="","",INDEX(Partidas!$F$2:$F$99,MATCH(A111,Partidas!$A$2:$A$99,0)))</f>
        <v>115</v>
      </c>
      <c r="U111" s="22" t="n">
        <f aca="false">IF(T111="",0,S111*T111)</f>
        <v>345</v>
      </c>
    </row>
    <row r="112" customFormat="false" ht="15" hidden="false" customHeight="false" outlineLevel="0" collapsed="false">
      <c r="A112" s="0" t="s">
        <v>424</v>
      </c>
      <c r="B112" s="0" t="s">
        <v>67</v>
      </c>
      <c r="C112" s="9" t="str">
        <f aca="false">INDEX(Partidas!$D$2:$D$99,MATCH(A112,Partidas!$A$2:$A$99,0))</f>
        <v>Conducto de campana extractora</v>
      </c>
      <c r="D112" s="9" t="str">
        <f aca="false">INDEX(Partidas!$C$2:$C$99,MATCH(A112,Partidas!$A$2:$A$99,0))</f>
        <v>ud</v>
      </c>
      <c r="E112" s="20" t="n">
        <f aca="false">IF(E$5="",0,SUMPRODUCT((Plantillas!$A$2:$A$114=E$5)*(Plantillas!$D$2:$D$114=$A112)*(Plantillas!$G$2:$G$114*N(E$6)+Plantillas!$H$2:$H$114)))</f>
        <v>0</v>
      </c>
      <c r="F112" s="20" t="n">
        <f aca="false">IF(F$5="",0,SUMPRODUCT((Plantillas!$A$2:$A$114=F$5)*(Plantillas!$D$2:$D$114=$A112)*(Plantillas!$G$2:$G$114*N(F$6)+Plantillas!$H$2:$H$114)))</f>
        <v>0</v>
      </c>
      <c r="G112" s="20" t="n">
        <f aca="false">IF(G$5="",0,SUMPRODUCT((Plantillas!$A$2:$A$114=G$5)*(Plantillas!$D$2:$D$114=$A112)*(Plantillas!$G$2:$G$114*N(G$6)+Plantillas!$H$2:$H$114)))</f>
        <v>0</v>
      </c>
      <c r="H112" s="20" t="n">
        <f aca="false">IF(H$5="",0,SUMPRODUCT((Plantillas!$A$2:$A$114=H$5)*(Plantillas!$D$2:$D$114=$A112)*(Plantillas!$G$2:$G$114*N(H$6)+Plantillas!$H$2:$H$114)))</f>
        <v>0</v>
      </c>
      <c r="I112" s="20" t="n">
        <f aca="false">IF(I$5="",0,SUMPRODUCT((Plantillas!$A$2:$A$114=I$5)*(Plantillas!$D$2:$D$114=$A112)*(Plantillas!$G$2:$G$114*N(I$6)+Plantillas!$H$2:$H$114)))</f>
        <v>0</v>
      </c>
      <c r="J112" s="20" t="n">
        <f aca="false">IF(J$5="",0,SUMPRODUCT((Plantillas!$A$2:$A$114=J$5)*(Plantillas!$D$2:$D$114=$A112)*(Plantillas!$G$2:$G$114*N(J$6)+Plantillas!$H$2:$H$114)))</f>
        <v>0</v>
      </c>
      <c r="K112" s="20" t="n">
        <f aca="false">IF(K$5="",0,SUMPRODUCT((Plantillas!$A$2:$A$114=K$5)*(Plantillas!$D$2:$D$114=$A112)*(Plantillas!$G$2:$G$114*N(K$6)+Plantillas!$H$2:$H$114)))</f>
        <v>0</v>
      </c>
      <c r="L112" s="20" t="n">
        <f aca="false">IF(L$5="",0,SUMPRODUCT((Plantillas!$A$2:$A$114=L$5)*(Plantillas!$D$2:$D$114=$A112)*(Plantillas!$G$2:$G$114*N(L$6)+Plantillas!$H$2:$H$114)))</f>
        <v>1</v>
      </c>
      <c r="M112" s="20" t="n">
        <f aca="false">IF(M$5="",0,SUMPRODUCT((Plantillas!$A$2:$A$114=M$5)*(Plantillas!$D$2:$D$114=$A112)*(Plantillas!$G$2:$G$114*N(M$6)+Plantillas!$H$2:$H$114)))</f>
        <v>0</v>
      </c>
      <c r="N112" s="20" t="n">
        <f aca="false">IF(N$5="",0,SUMPRODUCT((Plantillas!$A$2:$A$114=N$5)*(Plantillas!$D$2:$D$114=$A112)*(Plantillas!$G$2:$G$114*N(N$6)+Plantillas!$H$2:$H$114)))</f>
        <v>0</v>
      </c>
      <c r="O112" s="20" t="n">
        <f aca="false">IF(O$5="",0,SUMPRODUCT((Plantillas!$A$2:$A$114=O$5)*(Plantillas!$D$2:$D$114=$A112)*(Plantillas!$G$2:$G$114*N(O$6)+Plantillas!$H$2:$H$114)))</f>
        <v>0</v>
      </c>
      <c r="P112" s="20" t="n">
        <f aca="false">IF(P$5="",0,SUMPRODUCT((Plantillas!$A$2:$A$114=P$5)*(Plantillas!$D$2:$D$114=$A112)*(Plantillas!$G$2:$G$114*N(P$6)+Plantillas!$H$2:$H$114)))</f>
        <v>0</v>
      </c>
      <c r="Q112" s="20" t="n">
        <f aca="false">IF(Q$5="",0,SUMPRODUCT((Plantillas!$A$2:$A$114=Q$5)*(Plantillas!$D$2:$D$114=$A112)*(Plantillas!$G$2:$G$114*N(Q$6)+Plantillas!$H$2:$H$114)))</f>
        <v>0</v>
      </c>
      <c r="R112" s="20" t="n">
        <f aca="false">IF(R$5="",0,SUMPRODUCT((Plantillas!$A$2:$A$114=R$5)*(Plantillas!$D$2:$D$114=$A112)*(Plantillas!$G$2:$G$114*N(R$6)+Plantillas!$H$2:$H$114)))</f>
        <v>0</v>
      </c>
      <c r="S112" s="20" t="n">
        <f aca="false">SUM(E112:R112)</f>
        <v>1</v>
      </c>
      <c r="T112" s="21" t="str">
        <f aca="false">IF(INDEX(Partidas!$F$2:$F$99,MATCH(A112,Partidas!$A$2:$A$99,0))="","",INDEX(Partidas!$F$2:$F$99,MATCH(A112,Partidas!$A$2:$A$99,0)))</f>
        <v/>
      </c>
      <c r="U112" s="22" t="n">
        <f aca="false">IF(T112="",0,S112*T112)</f>
        <v>0</v>
      </c>
    </row>
    <row r="113" customFormat="false" ht="15" hidden="false" customHeight="false" outlineLevel="0" collapsed="false">
      <c r="A113" s="17" t="s">
        <v>69</v>
      </c>
      <c r="B113" s="18"/>
      <c r="C113" s="17" t="s">
        <v>70</v>
      </c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9" t="n">
        <f aca="false">SUM(U114:U116)</f>
        <v>2634.3</v>
      </c>
    </row>
    <row r="114" customFormat="false" ht="15" hidden="false" customHeight="false" outlineLevel="0" collapsed="false">
      <c r="A114" s="0" t="s">
        <v>427</v>
      </c>
      <c r="B114" s="0" t="s">
        <v>69</v>
      </c>
      <c r="C114" s="9" t="str">
        <f aca="false">INDEX(Partidas!$D$2:$D$99,MATCH(A114,Partidas!$A$2:$A$99,0))</f>
        <v>Pintura plástica lisa en paredes</v>
      </c>
      <c r="D114" s="9" t="str">
        <f aca="false">INDEX(Partidas!$C$2:$C$99,MATCH(A114,Partidas!$A$2:$A$99,0))</f>
        <v>m2</v>
      </c>
      <c r="E114" s="20" t="n">
        <f aca="false">IF(E$5="",0,SUMPRODUCT((Plantillas!$A$2:$A$114=E$5)*(Plantillas!$D$2:$D$114=$A114)*(Plantillas!$G$2:$G$114*N(E$6)+Plantillas!$H$2:$H$114)))</f>
        <v>0</v>
      </c>
      <c r="F114" s="20" t="n">
        <f aca="false">IF(F$5="",0,SUMPRODUCT((Plantillas!$A$2:$A$114=F$5)*(Plantillas!$D$2:$D$114=$A114)*(Plantillas!$G$2:$G$114*N(F$6)+Plantillas!$H$2:$H$114)))</f>
        <v>57.6</v>
      </c>
      <c r="G114" s="20" t="n">
        <f aca="false">IF(G$5="",0,SUMPRODUCT((Plantillas!$A$2:$A$114=G$5)*(Plantillas!$D$2:$D$114=$A114)*(Plantillas!$G$2:$G$114*N(G$6)+Plantillas!$H$2:$H$114)))</f>
        <v>36</v>
      </c>
      <c r="H114" s="20" t="n">
        <f aca="false">IF(H$5="",0,SUMPRODUCT((Plantillas!$A$2:$A$114=H$5)*(Plantillas!$D$2:$D$114=$A114)*(Plantillas!$G$2:$G$114*N(H$6)+Plantillas!$H$2:$H$114)))</f>
        <v>24</v>
      </c>
      <c r="I114" s="20" t="n">
        <f aca="false">IF(I$5="",0,SUMPRODUCT((Plantillas!$A$2:$A$114=I$5)*(Plantillas!$D$2:$D$114=$A114)*(Plantillas!$G$2:$G$114*N(I$6)+Plantillas!$H$2:$H$114)))</f>
        <v>24</v>
      </c>
      <c r="J114" s="20" t="n">
        <f aca="false">IF(J$5="",0,SUMPRODUCT((Plantillas!$A$2:$A$114=J$5)*(Plantillas!$D$2:$D$114=$A114)*(Plantillas!$G$2:$G$114*N(J$6)+Plantillas!$H$2:$H$114)))</f>
        <v>24.5</v>
      </c>
      <c r="K114" s="20" t="n">
        <f aca="false">IF(K$5="",0,SUMPRODUCT((Plantillas!$A$2:$A$114=K$5)*(Plantillas!$D$2:$D$114=$A114)*(Plantillas!$G$2:$G$114*N(K$6)+Plantillas!$H$2:$H$114)))</f>
        <v>14</v>
      </c>
      <c r="L114" s="20" t="n">
        <f aca="false">IF(L$5="",0,SUMPRODUCT((Plantillas!$A$2:$A$114=L$5)*(Plantillas!$D$2:$D$114=$A114)*(Plantillas!$G$2:$G$114*N(L$6)+Plantillas!$H$2:$H$114)))</f>
        <v>14.4</v>
      </c>
      <c r="M114" s="20" t="n">
        <f aca="false">IF(M$5="",0,SUMPRODUCT((Plantillas!$A$2:$A$114=M$5)*(Plantillas!$D$2:$D$114=$A114)*(Plantillas!$G$2:$G$114*N(M$6)+Plantillas!$H$2:$H$114)))</f>
        <v>7.2</v>
      </c>
      <c r="N114" s="20" t="n">
        <f aca="false">IF(N$5="",0,SUMPRODUCT((Plantillas!$A$2:$A$114=N$5)*(Plantillas!$D$2:$D$114=$A114)*(Plantillas!$G$2:$G$114*N(N$6)+Plantillas!$H$2:$H$114)))</f>
        <v>0</v>
      </c>
      <c r="O114" s="20" t="n">
        <f aca="false">IF(O$5="",0,SUMPRODUCT((Plantillas!$A$2:$A$114=O$5)*(Plantillas!$D$2:$D$114=$A114)*(Plantillas!$G$2:$G$114*N(O$6)+Plantillas!$H$2:$H$114)))</f>
        <v>0</v>
      </c>
      <c r="P114" s="20" t="n">
        <f aca="false">IF(P$5="",0,SUMPRODUCT((Plantillas!$A$2:$A$114=P$5)*(Plantillas!$D$2:$D$114=$A114)*(Plantillas!$G$2:$G$114*N(P$6)+Plantillas!$H$2:$H$114)))</f>
        <v>0</v>
      </c>
      <c r="Q114" s="20" t="n">
        <f aca="false">IF(Q$5="",0,SUMPRODUCT((Plantillas!$A$2:$A$114=Q$5)*(Plantillas!$D$2:$D$114=$A114)*(Plantillas!$G$2:$G$114*N(Q$6)+Plantillas!$H$2:$H$114)))</f>
        <v>0</v>
      </c>
      <c r="R114" s="20" t="n">
        <f aca="false">IF(R$5="",0,SUMPRODUCT((Plantillas!$A$2:$A$114=R$5)*(Plantillas!$D$2:$D$114=$A114)*(Plantillas!$G$2:$G$114*N(R$6)+Plantillas!$H$2:$H$114)))</f>
        <v>0</v>
      </c>
      <c r="S114" s="20" t="n">
        <f aca="false">SUM(E114:R114)</f>
        <v>201.7</v>
      </c>
      <c r="T114" s="21" t="n">
        <f aca="false">IF(INDEX(Partidas!$F$2:$F$99,MATCH(A114,Partidas!$A$2:$A$99,0))="","",INDEX(Partidas!$F$2:$F$99,MATCH(A114,Partidas!$A$2:$A$99,0)))</f>
        <v>9</v>
      </c>
      <c r="U114" s="22" t="n">
        <f aca="false">IF(T114="",0,S114*T114)</f>
        <v>1815.3</v>
      </c>
    </row>
    <row r="115" customFormat="false" ht="15" hidden="false" customHeight="false" outlineLevel="0" collapsed="false">
      <c r="A115" s="0" t="s">
        <v>431</v>
      </c>
      <c r="B115" s="0" t="s">
        <v>69</v>
      </c>
      <c r="C115" s="9" t="str">
        <f aca="false">INDEX(Partidas!$D$2:$D$99,MATCH(A115,Partidas!$A$2:$A$99,0))</f>
        <v>Pintura plástica lisa en techos</v>
      </c>
      <c r="D115" s="9" t="str">
        <f aca="false">INDEX(Partidas!$C$2:$C$99,MATCH(A115,Partidas!$A$2:$A$99,0))</f>
        <v>m2</v>
      </c>
      <c r="E115" s="20" t="n">
        <f aca="false">IF(E$5="",0,SUMPRODUCT((Plantillas!$A$2:$A$114=E$5)*(Plantillas!$D$2:$D$114=$A115)*(Plantillas!$G$2:$G$114*N(E$6)+Plantillas!$H$2:$H$114)))</f>
        <v>0</v>
      </c>
      <c r="F115" s="20" t="n">
        <f aca="false">IF(F$5="",0,SUMPRODUCT((Plantillas!$A$2:$A$114=F$5)*(Plantillas!$D$2:$D$114=$A115)*(Plantillas!$G$2:$G$114*N(F$6)+Plantillas!$H$2:$H$114)))</f>
        <v>24</v>
      </c>
      <c r="G115" s="20" t="n">
        <f aca="false">IF(G$5="",0,SUMPRODUCT((Plantillas!$A$2:$A$114=G$5)*(Plantillas!$D$2:$D$114=$A115)*(Plantillas!$G$2:$G$114*N(G$6)+Plantillas!$H$2:$H$114)))</f>
        <v>15</v>
      </c>
      <c r="H115" s="20" t="n">
        <f aca="false">IF(H$5="",0,SUMPRODUCT((Plantillas!$A$2:$A$114=H$5)*(Plantillas!$D$2:$D$114=$A115)*(Plantillas!$G$2:$G$114*N(H$6)+Plantillas!$H$2:$H$114)))</f>
        <v>10</v>
      </c>
      <c r="I115" s="20" t="n">
        <f aca="false">IF(I$5="",0,SUMPRODUCT((Plantillas!$A$2:$A$114=I$5)*(Plantillas!$D$2:$D$114=$A115)*(Plantillas!$G$2:$G$114*N(I$6)+Plantillas!$H$2:$H$114)))</f>
        <v>10</v>
      </c>
      <c r="J115" s="20" t="n">
        <f aca="false">IF(J$5="",0,SUMPRODUCT((Plantillas!$A$2:$A$114=J$5)*(Plantillas!$D$2:$D$114=$A115)*(Plantillas!$G$2:$G$114*N(J$6)+Plantillas!$H$2:$H$114)))</f>
        <v>7</v>
      </c>
      <c r="K115" s="20" t="n">
        <f aca="false">IF(K$5="",0,SUMPRODUCT((Plantillas!$A$2:$A$114=K$5)*(Plantillas!$D$2:$D$114=$A115)*(Plantillas!$G$2:$G$114*N(K$6)+Plantillas!$H$2:$H$114)))</f>
        <v>4</v>
      </c>
      <c r="L115" s="20" t="n">
        <f aca="false">IF(L$5="",0,SUMPRODUCT((Plantillas!$A$2:$A$114=L$5)*(Plantillas!$D$2:$D$114=$A115)*(Plantillas!$G$2:$G$114*N(L$6)+Plantillas!$H$2:$H$114)))</f>
        <v>9</v>
      </c>
      <c r="M115" s="20" t="n">
        <f aca="false">IF(M$5="",0,SUMPRODUCT((Plantillas!$A$2:$A$114=M$5)*(Plantillas!$D$2:$D$114=$A115)*(Plantillas!$G$2:$G$114*N(M$6)+Plantillas!$H$2:$H$114)))</f>
        <v>3</v>
      </c>
      <c r="N115" s="20" t="n">
        <f aca="false">IF(N$5="",0,SUMPRODUCT((Plantillas!$A$2:$A$114=N$5)*(Plantillas!$D$2:$D$114=$A115)*(Plantillas!$G$2:$G$114*N(N$6)+Plantillas!$H$2:$H$114)))</f>
        <v>5</v>
      </c>
      <c r="O115" s="20" t="n">
        <f aca="false">IF(O$5="",0,SUMPRODUCT((Plantillas!$A$2:$A$114=O$5)*(Plantillas!$D$2:$D$114=$A115)*(Plantillas!$G$2:$G$114*N(O$6)+Plantillas!$H$2:$H$114)))</f>
        <v>4</v>
      </c>
      <c r="P115" s="20" t="n">
        <f aca="false">IF(P$5="",0,SUMPRODUCT((Plantillas!$A$2:$A$114=P$5)*(Plantillas!$D$2:$D$114=$A115)*(Plantillas!$G$2:$G$114*N(P$6)+Plantillas!$H$2:$H$114)))</f>
        <v>0</v>
      </c>
      <c r="Q115" s="20" t="n">
        <f aca="false">IF(Q$5="",0,SUMPRODUCT((Plantillas!$A$2:$A$114=Q$5)*(Plantillas!$D$2:$D$114=$A115)*(Plantillas!$G$2:$G$114*N(Q$6)+Plantillas!$H$2:$H$114)))</f>
        <v>0</v>
      </c>
      <c r="R115" s="20" t="n">
        <f aca="false">IF(R$5="",0,SUMPRODUCT((Plantillas!$A$2:$A$114=R$5)*(Plantillas!$D$2:$D$114=$A115)*(Plantillas!$G$2:$G$114*N(R$6)+Plantillas!$H$2:$H$114)))</f>
        <v>0</v>
      </c>
      <c r="S115" s="20" t="n">
        <f aca="false">SUM(E115:R115)</f>
        <v>91</v>
      </c>
      <c r="T115" s="21" t="n">
        <f aca="false">IF(INDEX(Partidas!$F$2:$F$99,MATCH(A115,Partidas!$A$2:$A$99,0))="","",INDEX(Partidas!$F$2:$F$99,MATCH(A115,Partidas!$A$2:$A$99,0)))</f>
        <v>9</v>
      </c>
      <c r="U115" s="22" t="n">
        <f aca="false">IF(T115="",0,S115*T115)</f>
        <v>819</v>
      </c>
    </row>
    <row r="116" customFormat="false" ht="15" hidden="false" customHeight="false" outlineLevel="0" collapsed="false">
      <c r="A116" s="0" t="s">
        <v>435</v>
      </c>
      <c r="B116" s="0" t="s">
        <v>69</v>
      </c>
      <c r="C116" s="9" t="str">
        <f aca="false">INDEX(Partidas!$D$2:$D$99,MATCH(A116,Partidas!$A$2:$A$99,0))</f>
        <v>Lacado de puerta o radiador existente</v>
      </c>
      <c r="D116" s="9" t="str">
        <f aca="false">INDEX(Partidas!$C$2:$C$99,MATCH(A116,Partidas!$A$2:$A$99,0))</f>
        <v>ud</v>
      </c>
      <c r="E116" s="20" t="n">
        <f aca="false">IF(E$5="",0,SUMPRODUCT((Plantillas!$A$2:$A$114=E$5)*(Plantillas!$D$2:$D$114=$A116)*(Plantillas!$G$2:$G$114*N(E$6)+Plantillas!$H$2:$H$114)))</f>
        <v>0</v>
      </c>
      <c r="F116" s="20" t="n">
        <f aca="false">IF(F$5="",0,SUMPRODUCT((Plantillas!$A$2:$A$114=F$5)*(Plantillas!$D$2:$D$114=$A116)*(Plantillas!$G$2:$G$114*N(F$6)+Plantillas!$H$2:$H$114)))</f>
        <v>0</v>
      </c>
      <c r="G116" s="20" t="n">
        <f aca="false">IF(G$5="",0,SUMPRODUCT((Plantillas!$A$2:$A$114=G$5)*(Plantillas!$D$2:$D$114=$A116)*(Plantillas!$G$2:$G$114*N(G$6)+Plantillas!$H$2:$H$114)))</f>
        <v>0</v>
      </c>
      <c r="H116" s="20" t="n">
        <f aca="false">IF(H$5="",0,SUMPRODUCT((Plantillas!$A$2:$A$114=H$5)*(Plantillas!$D$2:$D$114=$A116)*(Plantillas!$G$2:$G$114*N(H$6)+Plantillas!$H$2:$H$114)))</f>
        <v>0</v>
      </c>
      <c r="I116" s="20" t="n">
        <f aca="false">IF(I$5="",0,SUMPRODUCT((Plantillas!$A$2:$A$114=I$5)*(Plantillas!$D$2:$D$114=$A116)*(Plantillas!$G$2:$G$114*N(I$6)+Plantillas!$H$2:$H$114)))</f>
        <v>0</v>
      </c>
      <c r="J116" s="20" t="n">
        <f aca="false">IF(J$5="",0,SUMPRODUCT((Plantillas!$A$2:$A$114=J$5)*(Plantillas!$D$2:$D$114=$A116)*(Plantillas!$G$2:$G$114*N(J$6)+Plantillas!$H$2:$H$114)))</f>
        <v>0</v>
      </c>
      <c r="K116" s="20" t="n">
        <f aca="false">IF(K$5="",0,SUMPRODUCT((Plantillas!$A$2:$A$114=K$5)*(Plantillas!$D$2:$D$114=$A116)*(Plantillas!$G$2:$G$114*N(K$6)+Plantillas!$H$2:$H$114)))</f>
        <v>0</v>
      </c>
      <c r="L116" s="20" t="n">
        <f aca="false">IF(L$5="",0,SUMPRODUCT((Plantillas!$A$2:$A$114=L$5)*(Plantillas!$D$2:$D$114=$A116)*(Plantillas!$G$2:$G$114*N(L$6)+Plantillas!$H$2:$H$114)))</f>
        <v>0</v>
      </c>
      <c r="M116" s="20" t="n">
        <f aca="false">IF(M$5="",0,SUMPRODUCT((Plantillas!$A$2:$A$114=M$5)*(Plantillas!$D$2:$D$114=$A116)*(Plantillas!$G$2:$G$114*N(M$6)+Plantillas!$H$2:$H$114)))</f>
        <v>0</v>
      </c>
      <c r="N116" s="20" t="n">
        <f aca="false">IF(N$5="",0,SUMPRODUCT((Plantillas!$A$2:$A$114=N$5)*(Plantillas!$D$2:$D$114=$A116)*(Plantillas!$G$2:$G$114*N(N$6)+Plantillas!$H$2:$H$114)))</f>
        <v>0</v>
      </c>
      <c r="O116" s="20" t="n">
        <f aca="false">IF(O$5="",0,SUMPRODUCT((Plantillas!$A$2:$A$114=O$5)*(Plantillas!$D$2:$D$114=$A116)*(Plantillas!$G$2:$G$114*N(O$6)+Plantillas!$H$2:$H$114)))</f>
        <v>0</v>
      </c>
      <c r="P116" s="20" t="n">
        <f aca="false">IF(P$5="",0,SUMPRODUCT((Plantillas!$A$2:$A$114=P$5)*(Plantillas!$D$2:$D$114=$A116)*(Plantillas!$G$2:$G$114*N(P$6)+Plantillas!$H$2:$H$114)))</f>
        <v>0</v>
      </c>
      <c r="Q116" s="20" t="n">
        <f aca="false">IF(Q$5="",0,SUMPRODUCT((Plantillas!$A$2:$A$114=Q$5)*(Plantillas!$D$2:$D$114=$A116)*(Plantillas!$G$2:$G$114*N(Q$6)+Plantillas!$H$2:$H$114)))</f>
        <v>0</v>
      </c>
      <c r="R116" s="20" t="n">
        <f aca="false">IF(R$5="",0,SUMPRODUCT((Plantillas!$A$2:$A$114=R$5)*(Plantillas!$D$2:$D$114=$A116)*(Plantillas!$G$2:$G$114*N(R$6)+Plantillas!$H$2:$H$114)))</f>
        <v>0</v>
      </c>
      <c r="S116" s="20" t="n">
        <f aca="false">SUM(E116:R116)</f>
        <v>0</v>
      </c>
      <c r="T116" s="21" t="str">
        <f aca="false">IF(INDEX(Partidas!$F$2:$F$99,MATCH(A116,Partidas!$A$2:$A$99,0))="","",INDEX(Partidas!$F$2:$F$99,MATCH(A116,Partidas!$A$2:$A$99,0)))</f>
        <v/>
      </c>
      <c r="U116" s="22" t="n">
        <f aca="false">IF(T116="",0,S116*T116)</f>
        <v>0</v>
      </c>
    </row>
    <row r="117" customFormat="false" ht="15" hidden="false" customHeight="false" outlineLevel="0" collapsed="false">
      <c r="A117" s="17" t="s">
        <v>71</v>
      </c>
      <c r="B117" s="18"/>
      <c r="C117" s="17" t="s">
        <v>72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9" t="n">
        <f aca="false">SUM(U118:U118)</f>
        <v>2000</v>
      </c>
    </row>
    <row r="118" customFormat="false" ht="15" hidden="false" customHeight="false" outlineLevel="0" collapsed="false">
      <c r="A118" s="0" t="s">
        <v>438</v>
      </c>
      <c r="B118" s="0" t="s">
        <v>71</v>
      </c>
      <c r="C118" s="9" t="str">
        <f aca="false">INDEX(Partidas!$D$2:$D$99,MATCH(A118,Partidas!$A$2:$A$99,0))</f>
        <v>Ayudas de albañilería a instalaciones</v>
      </c>
      <c r="D118" s="9" t="str">
        <f aca="false">INDEX(Partidas!$C$2:$C$99,MATCH(A118,Partidas!$A$2:$A$99,0))</f>
        <v>pa</v>
      </c>
      <c r="E118" s="20" t="n">
        <f aca="false">IF(E$5="",0,SUMPRODUCT((Plantillas!$A$2:$A$114=E$5)*(Plantillas!$D$2:$D$114=$A118)*(Plantillas!$G$2:$G$114*N(E$6)+Plantillas!$H$2:$H$114)))</f>
        <v>1</v>
      </c>
      <c r="F118" s="20" t="n">
        <f aca="false">IF(F$5="",0,SUMPRODUCT((Plantillas!$A$2:$A$114=F$5)*(Plantillas!$D$2:$D$114=$A118)*(Plantillas!$G$2:$G$114*N(F$6)+Plantillas!$H$2:$H$114)))</f>
        <v>0</v>
      </c>
      <c r="G118" s="20" t="n">
        <f aca="false">IF(G$5="",0,SUMPRODUCT((Plantillas!$A$2:$A$114=G$5)*(Plantillas!$D$2:$D$114=$A118)*(Plantillas!$G$2:$G$114*N(G$6)+Plantillas!$H$2:$H$114)))</f>
        <v>0</v>
      </c>
      <c r="H118" s="20" t="n">
        <f aca="false">IF(H$5="",0,SUMPRODUCT((Plantillas!$A$2:$A$114=H$5)*(Plantillas!$D$2:$D$114=$A118)*(Plantillas!$G$2:$G$114*N(H$6)+Plantillas!$H$2:$H$114)))</f>
        <v>0</v>
      </c>
      <c r="I118" s="20" t="n">
        <f aca="false">IF(I$5="",0,SUMPRODUCT((Plantillas!$A$2:$A$114=I$5)*(Plantillas!$D$2:$D$114=$A118)*(Plantillas!$G$2:$G$114*N(I$6)+Plantillas!$H$2:$H$114)))</f>
        <v>0</v>
      </c>
      <c r="J118" s="20" t="n">
        <f aca="false">IF(J$5="",0,SUMPRODUCT((Plantillas!$A$2:$A$114=J$5)*(Plantillas!$D$2:$D$114=$A118)*(Plantillas!$G$2:$G$114*N(J$6)+Plantillas!$H$2:$H$114)))</f>
        <v>0</v>
      </c>
      <c r="K118" s="20" t="n">
        <f aca="false">IF(K$5="",0,SUMPRODUCT((Plantillas!$A$2:$A$114=K$5)*(Plantillas!$D$2:$D$114=$A118)*(Plantillas!$G$2:$G$114*N(K$6)+Plantillas!$H$2:$H$114)))</f>
        <v>0</v>
      </c>
      <c r="L118" s="20" t="n">
        <f aca="false">IF(L$5="",0,SUMPRODUCT((Plantillas!$A$2:$A$114=L$5)*(Plantillas!$D$2:$D$114=$A118)*(Plantillas!$G$2:$G$114*N(L$6)+Plantillas!$H$2:$H$114)))</f>
        <v>0</v>
      </c>
      <c r="M118" s="20" t="n">
        <f aca="false">IF(M$5="",0,SUMPRODUCT((Plantillas!$A$2:$A$114=M$5)*(Plantillas!$D$2:$D$114=$A118)*(Plantillas!$G$2:$G$114*N(M$6)+Plantillas!$H$2:$H$114)))</f>
        <v>0</v>
      </c>
      <c r="N118" s="20" t="n">
        <f aca="false">IF(N$5="",0,SUMPRODUCT((Plantillas!$A$2:$A$114=N$5)*(Plantillas!$D$2:$D$114=$A118)*(Plantillas!$G$2:$G$114*N(N$6)+Plantillas!$H$2:$H$114)))</f>
        <v>0</v>
      </c>
      <c r="O118" s="20" t="n">
        <f aca="false">IF(O$5="",0,SUMPRODUCT((Plantillas!$A$2:$A$114=O$5)*(Plantillas!$D$2:$D$114=$A118)*(Plantillas!$G$2:$G$114*N(O$6)+Plantillas!$H$2:$H$114)))</f>
        <v>0</v>
      </c>
      <c r="P118" s="20" t="n">
        <f aca="false">IF(P$5="",0,SUMPRODUCT((Plantillas!$A$2:$A$114=P$5)*(Plantillas!$D$2:$D$114=$A118)*(Plantillas!$G$2:$G$114*N(P$6)+Plantillas!$H$2:$H$114)))</f>
        <v>0</v>
      </c>
      <c r="Q118" s="20" t="n">
        <f aca="false">IF(Q$5="",0,SUMPRODUCT((Plantillas!$A$2:$A$114=Q$5)*(Plantillas!$D$2:$D$114=$A118)*(Plantillas!$G$2:$G$114*N(Q$6)+Plantillas!$H$2:$H$114)))</f>
        <v>0</v>
      </c>
      <c r="R118" s="20" t="n">
        <f aca="false">IF(R$5="",0,SUMPRODUCT((Plantillas!$A$2:$A$114=R$5)*(Plantillas!$D$2:$D$114=$A118)*(Plantillas!$G$2:$G$114*N(R$6)+Plantillas!$H$2:$H$114)))</f>
        <v>0</v>
      </c>
      <c r="S118" s="20" t="n">
        <f aca="false">SUM(E118:R118)</f>
        <v>1</v>
      </c>
      <c r="T118" s="21" t="n">
        <f aca="false">IF(INDEX(Partidas!$F$2:$F$99,MATCH(A118,Partidas!$A$2:$A$99,0))="","",INDEX(Partidas!$F$2:$F$99,MATCH(A118,Partidas!$A$2:$A$99,0)))</f>
        <v>2000</v>
      </c>
      <c r="U118" s="22" t="n">
        <f aca="false">IF(T118="",0,S118*T118)</f>
        <v>2000</v>
      </c>
    </row>
    <row r="119" customFormat="false" ht="15" hidden="false" customHeight="false" outlineLevel="0" collapsed="false">
      <c r="A119" s="17" t="s">
        <v>74</v>
      </c>
      <c r="B119" s="18"/>
      <c r="C119" s="17" t="s">
        <v>75</v>
      </c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9" t="n">
        <f aca="false">SUM(U120:U121)</f>
        <v>1017.016</v>
      </c>
    </row>
    <row r="120" customFormat="false" ht="15" hidden="false" customHeight="false" outlineLevel="0" collapsed="false">
      <c r="A120" s="0" t="s">
        <v>442</v>
      </c>
      <c r="B120" s="0" t="s">
        <v>74</v>
      </c>
      <c r="C120" s="9" t="str">
        <f aca="false">INDEX(Partidas!$D$2:$D$99,MATCH(A120,Partidas!$A$2:$A$99,0))</f>
        <v>Contenedor de escombros</v>
      </c>
      <c r="D120" s="9" t="str">
        <f aca="false">INDEX(Partidas!$C$2:$C$99,MATCH(A120,Partidas!$A$2:$A$99,0))</f>
        <v>ud</v>
      </c>
      <c r="E120" s="20" t="n">
        <f aca="false">IF(E$5="",0,SUMPRODUCT((Plantillas!$A$2:$A$114=E$5)*(Plantillas!$D$2:$D$114=$A120)*(Plantillas!$G$2:$G$114*N(E$6)+Plantillas!$H$2:$H$114)))</f>
        <v>4.004</v>
      </c>
      <c r="F120" s="20" t="n">
        <f aca="false">IF(F$5="",0,SUMPRODUCT((Plantillas!$A$2:$A$114=F$5)*(Plantillas!$D$2:$D$114=$A120)*(Plantillas!$G$2:$G$114*N(F$6)+Plantillas!$H$2:$H$114)))</f>
        <v>0</v>
      </c>
      <c r="G120" s="20" t="n">
        <f aca="false">IF(G$5="",0,SUMPRODUCT((Plantillas!$A$2:$A$114=G$5)*(Plantillas!$D$2:$D$114=$A120)*(Plantillas!$G$2:$G$114*N(G$6)+Plantillas!$H$2:$H$114)))</f>
        <v>0</v>
      </c>
      <c r="H120" s="20" t="n">
        <f aca="false">IF(H$5="",0,SUMPRODUCT((Plantillas!$A$2:$A$114=H$5)*(Plantillas!$D$2:$D$114=$A120)*(Plantillas!$G$2:$G$114*N(H$6)+Plantillas!$H$2:$H$114)))</f>
        <v>0</v>
      </c>
      <c r="I120" s="20" t="n">
        <f aca="false">IF(I$5="",0,SUMPRODUCT((Plantillas!$A$2:$A$114=I$5)*(Plantillas!$D$2:$D$114=$A120)*(Plantillas!$G$2:$G$114*N(I$6)+Plantillas!$H$2:$H$114)))</f>
        <v>0</v>
      </c>
      <c r="J120" s="20" t="n">
        <f aca="false">IF(J$5="",0,SUMPRODUCT((Plantillas!$A$2:$A$114=J$5)*(Plantillas!$D$2:$D$114=$A120)*(Plantillas!$G$2:$G$114*N(J$6)+Plantillas!$H$2:$H$114)))</f>
        <v>0</v>
      </c>
      <c r="K120" s="20" t="n">
        <f aca="false">IF(K$5="",0,SUMPRODUCT((Plantillas!$A$2:$A$114=K$5)*(Plantillas!$D$2:$D$114=$A120)*(Plantillas!$G$2:$G$114*N(K$6)+Plantillas!$H$2:$H$114)))</f>
        <v>0</v>
      </c>
      <c r="L120" s="20" t="n">
        <f aca="false">IF(L$5="",0,SUMPRODUCT((Plantillas!$A$2:$A$114=L$5)*(Plantillas!$D$2:$D$114=$A120)*(Plantillas!$G$2:$G$114*N(L$6)+Plantillas!$H$2:$H$114)))</f>
        <v>0</v>
      </c>
      <c r="M120" s="20" t="n">
        <f aca="false">IF(M$5="",0,SUMPRODUCT((Plantillas!$A$2:$A$114=M$5)*(Plantillas!$D$2:$D$114=$A120)*(Plantillas!$G$2:$G$114*N(M$6)+Plantillas!$H$2:$H$114)))</f>
        <v>0</v>
      </c>
      <c r="N120" s="20" t="n">
        <f aca="false">IF(N$5="",0,SUMPRODUCT((Plantillas!$A$2:$A$114=N$5)*(Plantillas!$D$2:$D$114=$A120)*(Plantillas!$G$2:$G$114*N(N$6)+Plantillas!$H$2:$H$114)))</f>
        <v>0</v>
      </c>
      <c r="O120" s="20" t="n">
        <f aca="false">IF(O$5="",0,SUMPRODUCT((Plantillas!$A$2:$A$114=O$5)*(Plantillas!$D$2:$D$114=$A120)*(Plantillas!$G$2:$G$114*N(O$6)+Plantillas!$H$2:$H$114)))</f>
        <v>0</v>
      </c>
      <c r="P120" s="20" t="n">
        <f aca="false">IF(P$5="",0,SUMPRODUCT((Plantillas!$A$2:$A$114=P$5)*(Plantillas!$D$2:$D$114=$A120)*(Plantillas!$G$2:$G$114*N(P$6)+Plantillas!$H$2:$H$114)))</f>
        <v>0</v>
      </c>
      <c r="Q120" s="20" t="n">
        <f aca="false">IF(Q$5="",0,SUMPRODUCT((Plantillas!$A$2:$A$114=Q$5)*(Plantillas!$D$2:$D$114=$A120)*(Plantillas!$G$2:$G$114*N(Q$6)+Plantillas!$H$2:$H$114)))</f>
        <v>0</v>
      </c>
      <c r="R120" s="20" t="n">
        <f aca="false">IF(R$5="",0,SUMPRODUCT((Plantillas!$A$2:$A$114=R$5)*(Plantillas!$D$2:$D$114=$A120)*(Plantillas!$G$2:$G$114*N(R$6)+Plantillas!$H$2:$H$114)))</f>
        <v>0</v>
      </c>
      <c r="S120" s="20" t="n">
        <f aca="false">SUM(E120:R120)</f>
        <v>4.004</v>
      </c>
      <c r="T120" s="21" t="n">
        <f aca="false">IF(INDEX(Partidas!$F$2:$F$99,MATCH(A120,Partidas!$A$2:$A$99,0))="","",INDEX(Partidas!$F$2:$F$99,MATCH(A120,Partidas!$A$2:$A$99,0)))</f>
        <v>254</v>
      </c>
      <c r="U120" s="22" t="n">
        <f aca="false">IF(T120="",0,S120*T120)</f>
        <v>1017.016</v>
      </c>
    </row>
    <row r="121" customFormat="false" ht="15" hidden="false" customHeight="false" outlineLevel="0" collapsed="false">
      <c r="A121" s="0" t="s">
        <v>446</v>
      </c>
      <c r="B121" s="0" t="s">
        <v>74</v>
      </c>
      <c r="C121" s="9" t="str">
        <f aca="false">INDEX(Partidas!$D$2:$D$99,MATCH(A121,Partidas!$A$2:$A$99,0))</f>
        <v>Gestión documental de residuos</v>
      </c>
      <c r="D121" s="9" t="str">
        <f aca="false">INDEX(Partidas!$C$2:$C$99,MATCH(A121,Partidas!$A$2:$A$99,0))</f>
        <v>pa</v>
      </c>
      <c r="E121" s="20" t="n">
        <f aca="false">IF(E$5="",0,SUMPRODUCT((Plantillas!$A$2:$A$114=E$5)*(Plantillas!$D$2:$D$114=$A121)*(Plantillas!$G$2:$G$114*N(E$6)+Plantillas!$H$2:$H$114)))</f>
        <v>1</v>
      </c>
      <c r="F121" s="20" t="n">
        <f aca="false">IF(F$5="",0,SUMPRODUCT((Plantillas!$A$2:$A$114=F$5)*(Plantillas!$D$2:$D$114=$A121)*(Plantillas!$G$2:$G$114*N(F$6)+Plantillas!$H$2:$H$114)))</f>
        <v>0</v>
      </c>
      <c r="G121" s="20" t="n">
        <f aca="false">IF(G$5="",0,SUMPRODUCT((Plantillas!$A$2:$A$114=G$5)*(Plantillas!$D$2:$D$114=$A121)*(Plantillas!$G$2:$G$114*N(G$6)+Plantillas!$H$2:$H$114)))</f>
        <v>0</v>
      </c>
      <c r="H121" s="20" t="n">
        <f aca="false">IF(H$5="",0,SUMPRODUCT((Plantillas!$A$2:$A$114=H$5)*(Plantillas!$D$2:$D$114=$A121)*(Plantillas!$G$2:$G$114*N(H$6)+Plantillas!$H$2:$H$114)))</f>
        <v>0</v>
      </c>
      <c r="I121" s="20" t="n">
        <f aca="false">IF(I$5="",0,SUMPRODUCT((Plantillas!$A$2:$A$114=I$5)*(Plantillas!$D$2:$D$114=$A121)*(Plantillas!$G$2:$G$114*N(I$6)+Plantillas!$H$2:$H$114)))</f>
        <v>0</v>
      </c>
      <c r="J121" s="20" t="n">
        <f aca="false">IF(J$5="",0,SUMPRODUCT((Plantillas!$A$2:$A$114=J$5)*(Plantillas!$D$2:$D$114=$A121)*(Plantillas!$G$2:$G$114*N(J$6)+Plantillas!$H$2:$H$114)))</f>
        <v>0</v>
      </c>
      <c r="K121" s="20" t="n">
        <f aca="false">IF(K$5="",0,SUMPRODUCT((Plantillas!$A$2:$A$114=K$5)*(Plantillas!$D$2:$D$114=$A121)*(Plantillas!$G$2:$G$114*N(K$6)+Plantillas!$H$2:$H$114)))</f>
        <v>0</v>
      </c>
      <c r="L121" s="20" t="n">
        <f aca="false">IF(L$5="",0,SUMPRODUCT((Plantillas!$A$2:$A$114=L$5)*(Plantillas!$D$2:$D$114=$A121)*(Plantillas!$G$2:$G$114*N(L$6)+Plantillas!$H$2:$H$114)))</f>
        <v>0</v>
      </c>
      <c r="M121" s="20" t="n">
        <f aca="false">IF(M$5="",0,SUMPRODUCT((Plantillas!$A$2:$A$114=M$5)*(Plantillas!$D$2:$D$114=$A121)*(Plantillas!$G$2:$G$114*N(M$6)+Plantillas!$H$2:$H$114)))</f>
        <v>0</v>
      </c>
      <c r="N121" s="20" t="n">
        <f aca="false">IF(N$5="",0,SUMPRODUCT((Plantillas!$A$2:$A$114=N$5)*(Plantillas!$D$2:$D$114=$A121)*(Plantillas!$G$2:$G$114*N(N$6)+Plantillas!$H$2:$H$114)))</f>
        <v>0</v>
      </c>
      <c r="O121" s="20" t="n">
        <f aca="false">IF(O$5="",0,SUMPRODUCT((Plantillas!$A$2:$A$114=O$5)*(Plantillas!$D$2:$D$114=$A121)*(Plantillas!$G$2:$G$114*N(O$6)+Plantillas!$H$2:$H$114)))</f>
        <v>0</v>
      </c>
      <c r="P121" s="20" t="n">
        <f aca="false">IF(P$5="",0,SUMPRODUCT((Plantillas!$A$2:$A$114=P$5)*(Plantillas!$D$2:$D$114=$A121)*(Plantillas!$G$2:$G$114*N(P$6)+Plantillas!$H$2:$H$114)))</f>
        <v>0</v>
      </c>
      <c r="Q121" s="20" t="n">
        <f aca="false">IF(Q$5="",0,SUMPRODUCT((Plantillas!$A$2:$A$114=Q$5)*(Plantillas!$D$2:$D$114=$A121)*(Plantillas!$G$2:$G$114*N(Q$6)+Plantillas!$H$2:$H$114)))</f>
        <v>0</v>
      </c>
      <c r="R121" s="20" t="n">
        <f aca="false">IF(R$5="",0,SUMPRODUCT((Plantillas!$A$2:$A$114=R$5)*(Plantillas!$D$2:$D$114=$A121)*(Plantillas!$G$2:$G$114*N(R$6)+Plantillas!$H$2:$H$114)))</f>
        <v>0</v>
      </c>
      <c r="S121" s="20" t="n">
        <f aca="false">SUM(E121:R121)</f>
        <v>1</v>
      </c>
      <c r="T121" s="21" t="str">
        <f aca="false">IF(INDEX(Partidas!$F$2:$F$99,MATCH(A121,Partidas!$A$2:$A$99,0))="","",INDEX(Partidas!$F$2:$F$99,MATCH(A121,Partidas!$A$2:$A$99,0)))</f>
        <v/>
      </c>
      <c r="U121" s="22" t="n">
        <f aca="false">IF(T121="",0,S121*T121)</f>
        <v>0</v>
      </c>
    </row>
    <row r="122" customFormat="false" ht="15" hidden="false" customHeight="false" outlineLevel="0" collapsed="false">
      <c r="A122" s="17" t="s">
        <v>77</v>
      </c>
      <c r="B122" s="18"/>
      <c r="C122" s="17" t="s">
        <v>78</v>
      </c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9" t="n">
        <f aca="false">SUM(U123:U123)</f>
        <v>0</v>
      </c>
    </row>
    <row r="123" customFormat="false" ht="15" hidden="false" customHeight="false" outlineLevel="0" collapsed="false">
      <c r="A123" s="0" t="s">
        <v>449</v>
      </c>
      <c r="B123" s="0" t="s">
        <v>77</v>
      </c>
      <c r="C123" s="9" t="str">
        <f aca="false">INDEX(Partidas!$D$2:$D$99,MATCH(A123,Partidas!$A$2:$A$99,0))</f>
        <v>Seguridad y salud</v>
      </c>
      <c r="D123" s="9" t="str">
        <f aca="false">INDEX(Partidas!$C$2:$C$99,MATCH(A123,Partidas!$A$2:$A$99,0))</f>
        <v>pa</v>
      </c>
      <c r="E123" s="20" t="n">
        <f aca="false">IF(E$5="",0,SUMPRODUCT((Plantillas!$A$2:$A$114=E$5)*(Plantillas!$D$2:$D$114=$A123)*(Plantillas!$G$2:$G$114*N(E$6)+Plantillas!$H$2:$H$114)))</f>
        <v>1</v>
      </c>
      <c r="F123" s="20" t="n">
        <f aca="false">IF(F$5="",0,SUMPRODUCT((Plantillas!$A$2:$A$114=F$5)*(Plantillas!$D$2:$D$114=$A123)*(Plantillas!$G$2:$G$114*N(F$6)+Plantillas!$H$2:$H$114)))</f>
        <v>0</v>
      </c>
      <c r="G123" s="20" t="n">
        <f aca="false">IF(G$5="",0,SUMPRODUCT((Plantillas!$A$2:$A$114=G$5)*(Plantillas!$D$2:$D$114=$A123)*(Plantillas!$G$2:$G$114*N(G$6)+Plantillas!$H$2:$H$114)))</f>
        <v>0</v>
      </c>
      <c r="H123" s="20" t="n">
        <f aca="false">IF(H$5="",0,SUMPRODUCT((Plantillas!$A$2:$A$114=H$5)*(Plantillas!$D$2:$D$114=$A123)*(Plantillas!$G$2:$G$114*N(H$6)+Plantillas!$H$2:$H$114)))</f>
        <v>0</v>
      </c>
      <c r="I123" s="20" t="n">
        <f aca="false">IF(I$5="",0,SUMPRODUCT((Plantillas!$A$2:$A$114=I$5)*(Plantillas!$D$2:$D$114=$A123)*(Plantillas!$G$2:$G$114*N(I$6)+Plantillas!$H$2:$H$114)))</f>
        <v>0</v>
      </c>
      <c r="J123" s="20" t="n">
        <f aca="false">IF(J$5="",0,SUMPRODUCT((Plantillas!$A$2:$A$114=J$5)*(Plantillas!$D$2:$D$114=$A123)*(Plantillas!$G$2:$G$114*N(J$6)+Plantillas!$H$2:$H$114)))</f>
        <v>0</v>
      </c>
      <c r="K123" s="20" t="n">
        <f aca="false">IF(K$5="",0,SUMPRODUCT((Plantillas!$A$2:$A$114=K$5)*(Plantillas!$D$2:$D$114=$A123)*(Plantillas!$G$2:$G$114*N(K$6)+Plantillas!$H$2:$H$114)))</f>
        <v>0</v>
      </c>
      <c r="L123" s="20" t="n">
        <f aca="false">IF(L$5="",0,SUMPRODUCT((Plantillas!$A$2:$A$114=L$5)*(Plantillas!$D$2:$D$114=$A123)*(Plantillas!$G$2:$G$114*N(L$6)+Plantillas!$H$2:$H$114)))</f>
        <v>0</v>
      </c>
      <c r="M123" s="20" t="n">
        <f aca="false">IF(M$5="",0,SUMPRODUCT((Plantillas!$A$2:$A$114=M$5)*(Plantillas!$D$2:$D$114=$A123)*(Plantillas!$G$2:$G$114*N(M$6)+Plantillas!$H$2:$H$114)))</f>
        <v>0</v>
      </c>
      <c r="N123" s="20" t="n">
        <f aca="false">IF(N$5="",0,SUMPRODUCT((Plantillas!$A$2:$A$114=N$5)*(Plantillas!$D$2:$D$114=$A123)*(Plantillas!$G$2:$G$114*N(N$6)+Plantillas!$H$2:$H$114)))</f>
        <v>0</v>
      </c>
      <c r="O123" s="20" t="n">
        <f aca="false">IF(O$5="",0,SUMPRODUCT((Plantillas!$A$2:$A$114=O$5)*(Plantillas!$D$2:$D$114=$A123)*(Plantillas!$G$2:$G$114*N(O$6)+Plantillas!$H$2:$H$114)))</f>
        <v>0</v>
      </c>
      <c r="P123" s="20" t="n">
        <f aca="false">IF(P$5="",0,SUMPRODUCT((Plantillas!$A$2:$A$114=P$5)*(Plantillas!$D$2:$D$114=$A123)*(Plantillas!$G$2:$G$114*N(P$6)+Plantillas!$H$2:$H$114)))</f>
        <v>0</v>
      </c>
      <c r="Q123" s="20" t="n">
        <f aca="false">IF(Q$5="",0,SUMPRODUCT((Plantillas!$A$2:$A$114=Q$5)*(Plantillas!$D$2:$D$114=$A123)*(Plantillas!$G$2:$G$114*N(Q$6)+Plantillas!$H$2:$H$114)))</f>
        <v>0</v>
      </c>
      <c r="R123" s="20" t="n">
        <f aca="false">IF(R$5="",0,SUMPRODUCT((Plantillas!$A$2:$A$114=R$5)*(Plantillas!$D$2:$D$114=$A123)*(Plantillas!$G$2:$G$114*N(R$6)+Plantillas!$H$2:$H$114)))</f>
        <v>0</v>
      </c>
      <c r="S123" s="20" t="n">
        <f aca="false">SUM(E123:R123)</f>
        <v>1</v>
      </c>
      <c r="T123" s="21" t="str">
        <f aca="false">IF(INDEX(Partidas!$F$2:$F$99,MATCH(A123,Partidas!$A$2:$A$99,0))="","",INDEX(Partidas!$F$2:$F$99,MATCH(A123,Partidas!$A$2:$A$99,0)))</f>
        <v/>
      </c>
      <c r="U123" s="22" t="n">
        <f aca="false">IF(T123="",0,S123*T123)</f>
        <v>0</v>
      </c>
    </row>
    <row r="124" customFormat="false" ht="15" hidden="false" customHeight="false" outlineLevel="0" collapsed="false">
      <c r="A124" s="17" t="s">
        <v>80</v>
      </c>
      <c r="B124" s="18"/>
      <c r="C124" s="17" t="s">
        <v>81</v>
      </c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9" t="n">
        <f aca="false">SUM(U125:U125)</f>
        <v>650</v>
      </c>
    </row>
    <row r="125" customFormat="false" ht="15" hidden="false" customHeight="false" outlineLevel="0" collapsed="false">
      <c r="A125" s="0" t="s">
        <v>451</v>
      </c>
      <c r="B125" s="0" t="s">
        <v>80</v>
      </c>
      <c r="C125" s="9" t="str">
        <f aca="false">INDEX(Partidas!$D$2:$D$99,MATCH(A125,Partidas!$A$2:$A$99,0))</f>
        <v>Limpieza de fin de obra</v>
      </c>
      <c r="D125" s="9" t="str">
        <f aca="false">INDEX(Partidas!$C$2:$C$99,MATCH(A125,Partidas!$A$2:$A$99,0))</f>
        <v>pa</v>
      </c>
      <c r="E125" s="20" t="n">
        <f aca="false">IF(E$5="",0,SUMPRODUCT((Plantillas!$A$2:$A$114=E$5)*(Plantillas!$D$2:$D$114=$A125)*(Plantillas!$G$2:$G$114*N(E$6)+Plantillas!$H$2:$H$114)))</f>
        <v>1</v>
      </c>
      <c r="F125" s="20" t="n">
        <f aca="false">IF(F$5="",0,SUMPRODUCT((Plantillas!$A$2:$A$114=F$5)*(Plantillas!$D$2:$D$114=$A125)*(Plantillas!$G$2:$G$114*N(F$6)+Plantillas!$H$2:$H$114)))</f>
        <v>0</v>
      </c>
      <c r="G125" s="20" t="n">
        <f aca="false">IF(G$5="",0,SUMPRODUCT((Plantillas!$A$2:$A$114=G$5)*(Plantillas!$D$2:$D$114=$A125)*(Plantillas!$G$2:$G$114*N(G$6)+Plantillas!$H$2:$H$114)))</f>
        <v>0</v>
      </c>
      <c r="H125" s="20" t="n">
        <f aca="false">IF(H$5="",0,SUMPRODUCT((Plantillas!$A$2:$A$114=H$5)*(Plantillas!$D$2:$D$114=$A125)*(Plantillas!$G$2:$G$114*N(H$6)+Plantillas!$H$2:$H$114)))</f>
        <v>0</v>
      </c>
      <c r="I125" s="20" t="n">
        <f aca="false">IF(I$5="",0,SUMPRODUCT((Plantillas!$A$2:$A$114=I$5)*(Plantillas!$D$2:$D$114=$A125)*(Plantillas!$G$2:$G$114*N(I$6)+Plantillas!$H$2:$H$114)))</f>
        <v>0</v>
      </c>
      <c r="J125" s="20" t="n">
        <f aca="false">IF(J$5="",0,SUMPRODUCT((Plantillas!$A$2:$A$114=J$5)*(Plantillas!$D$2:$D$114=$A125)*(Plantillas!$G$2:$G$114*N(J$6)+Plantillas!$H$2:$H$114)))</f>
        <v>0</v>
      </c>
      <c r="K125" s="20" t="n">
        <f aca="false">IF(K$5="",0,SUMPRODUCT((Plantillas!$A$2:$A$114=K$5)*(Plantillas!$D$2:$D$114=$A125)*(Plantillas!$G$2:$G$114*N(K$6)+Plantillas!$H$2:$H$114)))</f>
        <v>0</v>
      </c>
      <c r="L125" s="20" t="n">
        <f aca="false">IF(L$5="",0,SUMPRODUCT((Plantillas!$A$2:$A$114=L$5)*(Plantillas!$D$2:$D$114=$A125)*(Plantillas!$G$2:$G$114*N(L$6)+Plantillas!$H$2:$H$114)))</f>
        <v>0</v>
      </c>
      <c r="M125" s="20" t="n">
        <f aca="false">IF(M$5="",0,SUMPRODUCT((Plantillas!$A$2:$A$114=M$5)*(Plantillas!$D$2:$D$114=$A125)*(Plantillas!$G$2:$G$114*N(M$6)+Plantillas!$H$2:$H$114)))</f>
        <v>0</v>
      </c>
      <c r="N125" s="20" t="n">
        <f aca="false">IF(N$5="",0,SUMPRODUCT((Plantillas!$A$2:$A$114=N$5)*(Plantillas!$D$2:$D$114=$A125)*(Plantillas!$G$2:$G$114*N(N$6)+Plantillas!$H$2:$H$114)))</f>
        <v>0</v>
      </c>
      <c r="O125" s="20" t="n">
        <f aca="false">IF(O$5="",0,SUMPRODUCT((Plantillas!$A$2:$A$114=O$5)*(Plantillas!$D$2:$D$114=$A125)*(Plantillas!$G$2:$G$114*N(O$6)+Plantillas!$H$2:$H$114)))</f>
        <v>0</v>
      </c>
      <c r="P125" s="20" t="n">
        <f aca="false">IF(P$5="",0,SUMPRODUCT((Plantillas!$A$2:$A$114=P$5)*(Plantillas!$D$2:$D$114=$A125)*(Plantillas!$G$2:$G$114*N(P$6)+Plantillas!$H$2:$H$114)))</f>
        <v>0</v>
      </c>
      <c r="Q125" s="20" t="n">
        <f aca="false">IF(Q$5="",0,SUMPRODUCT((Plantillas!$A$2:$A$114=Q$5)*(Plantillas!$D$2:$D$114=$A125)*(Plantillas!$G$2:$G$114*N(Q$6)+Plantillas!$H$2:$H$114)))</f>
        <v>0</v>
      </c>
      <c r="R125" s="20" t="n">
        <f aca="false">IF(R$5="",0,SUMPRODUCT((Plantillas!$A$2:$A$114=R$5)*(Plantillas!$D$2:$D$114=$A125)*(Plantillas!$G$2:$G$114*N(R$6)+Plantillas!$H$2:$H$114)))</f>
        <v>0</v>
      </c>
      <c r="S125" s="20" t="n">
        <f aca="false">SUM(E125:R125)</f>
        <v>1</v>
      </c>
      <c r="T125" s="21" t="n">
        <f aca="false">IF(INDEX(Partidas!$F$2:$F$99,MATCH(A125,Partidas!$A$2:$A$99,0))="","",INDEX(Partidas!$F$2:$F$99,MATCH(A125,Partidas!$A$2:$A$99,0)))</f>
        <v>650</v>
      </c>
      <c r="U125" s="22" t="n">
        <f aca="false">IF(T125="",0,S125*T125)</f>
        <v>650</v>
      </c>
    </row>
    <row r="127" customFormat="false" ht="15" hidden="false" customHeight="false" outlineLevel="0" collapsed="false">
      <c r="C127" s="14" t="s">
        <v>505</v>
      </c>
      <c r="U127" s="23" t="n">
        <f aca="false">SUMIF($B$9:$B$125,"&lt;&gt;",U9:U125)</f>
        <v>49340.941</v>
      </c>
    </row>
    <row r="128" customFormat="false" ht="15" hidden="false" customHeight="false" outlineLevel="0" collapsed="false">
      <c r="C128" s="13" t="s">
        <v>506</v>
      </c>
      <c r="U128" s="24" t="n">
        <v>0.07</v>
      </c>
    </row>
    <row r="129" customFormat="false" ht="15" hidden="false" customHeight="false" outlineLevel="0" collapsed="false">
      <c r="C129" s="13" t="s">
        <v>507</v>
      </c>
      <c r="U129" s="25" t="n">
        <f aca="false">U127*U128</f>
        <v>3453.86587</v>
      </c>
    </row>
    <row r="130" customFormat="false" ht="15" hidden="false" customHeight="false" outlineLevel="0" collapsed="false">
      <c r="C130" s="14" t="s">
        <v>508</v>
      </c>
      <c r="U130" s="23" t="n">
        <f aca="false">U127+U129</f>
        <v>52794.80687</v>
      </c>
    </row>
    <row r="131" customFormat="false" ht="15" hidden="false" customHeight="false" outlineLevel="0" collapsed="false">
      <c r="C131" s="13" t="s">
        <v>509</v>
      </c>
      <c r="U131" s="24" t="n">
        <v>0.1</v>
      </c>
    </row>
    <row r="132" customFormat="false" ht="15" hidden="false" customHeight="false" outlineLevel="0" collapsed="false">
      <c r="C132" s="14" t="s">
        <v>510</v>
      </c>
      <c r="U132" s="23" t="n">
        <f aca="false">U130*(1+U131)</f>
        <v>58074.287557</v>
      </c>
    </row>
    <row r="133" customFormat="false" ht="15" hidden="false" customHeight="false" outlineLevel="0" collapsed="false">
      <c r="C133" s="14" t="s">
        <v>511</v>
      </c>
      <c r="U133" s="26" t="n">
        <f aca="false">SUMPRODUCT((S9:S125&gt;0)*(T9:T125=""))</f>
        <v>13</v>
      </c>
    </row>
  </sheetData>
  <conditionalFormatting sqref="T9:T125">
    <cfRule type="expression" priority="2" aboveAverage="0" equalAverage="0" bottom="0" percent="0" rank="0" text="" dxfId="7">
      <formula>AND(S9&gt;0,T9="")</formula>
    </cfRule>
  </conditionalFormatting>
  <dataValidations count="1">
    <dataValidation allowBlank="true" errorStyle="stop" operator="between" showDropDown="false" showErrorMessage="false" showInputMessage="false" sqref="E5:R5" type="list">
      <formula1>"GEN,DOR,SAL,PAS,BAN,ASE,COC,LAV,VEN,DBA"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2026-10-19T22:45:12Z</dcterms:created>
  <dc:creator>openpyxl</dc:creator>
  <dc:description/>
  <dc:language>en-US</dc:language>
  <cp:lastModifiedBy/>
  <dcterms:modified xsi:type="dcterms:W3CDTF">2026-10-19T22:45:13Z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